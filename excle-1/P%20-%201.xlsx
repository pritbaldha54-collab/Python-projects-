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Projects\Project - 1\"/>
    </mc:Choice>
  </mc:AlternateContent>
  <xr:revisionPtr revIDLastSave="0" documentId="13_ncr:1_{0D0C1269-2B86-4237-93DC-946E97450A0B}" xr6:coauthVersionLast="47" xr6:coauthVersionMax="47" xr10:uidLastSave="{00000000-0000-0000-0000-000000000000}"/>
  <bookViews>
    <workbookView xWindow="-110" yWindow="-110" windowWidth="19420" windowHeight="12220" xr2:uid="{16DA5434-45E4-409B-97D3-251206157A3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C31" i="3" a="1"/>
  <c r="F26" i="3"/>
  <c r="C26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C32" i="2"/>
  <c r="F31" i="2" a="1"/>
  <c r="F26" i="2"/>
  <c r="C26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K3" i="2"/>
  <c r="J3" i="2"/>
  <c r="I3" i="2"/>
  <c r="H3" i="2"/>
  <c r="G3" i="2"/>
  <c r="K2" i="2"/>
  <c r="J2" i="2"/>
  <c r="I2" i="2"/>
  <c r="H2" i="2"/>
  <c r="G2" i="2"/>
  <c r="K21" i="1"/>
  <c r="J21" i="1"/>
  <c r="I21" i="1"/>
  <c r="G21" i="1"/>
  <c r="H21" i="1" s="1"/>
  <c r="K20" i="1"/>
  <c r="J20" i="1"/>
  <c r="I20" i="1"/>
  <c r="G20" i="1"/>
  <c r="H20" i="1" s="1"/>
  <c r="K19" i="1"/>
  <c r="J19" i="1"/>
  <c r="I19" i="1"/>
  <c r="G19" i="1"/>
  <c r="H19" i="1" s="1"/>
  <c r="K18" i="1"/>
  <c r="J18" i="1"/>
  <c r="I18" i="1"/>
  <c r="G18" i="1"/>
  <c r="H18" i="1" s="1"/>
  <c r="K17" i="1"/>
  <c r="J17" i="1"/>
  <c r="I17" i="1"/>
  <c r="G17" i="1"/>
  <c r="H17" i="1" s="1"/>
  <c r="K16" i="1"/>
  <c r="J16" i="1"/>
  <c r="I16" i="1"/>
  <c r="G16" i="1"/>
  <c r="H16" i="1" s="1"/>
  <c r="K15" i="1"/>
  <c r="J15" i="1"/>
  <c r="I15" i="1"/>
  <c r="G15" i="1"/>
  <c r="H15" i="1" s="1"/>
  <c r="K14" i="1"/>
  <c r="J14" i="1"/>
  <c r="I14" i="1"/>
  <c r="G14" i="1"/>
  <c r="H14" i="1" s="1"/>
  <c r="K13" i="1"/>
  <c r="J13" i="1"/>
  <c r="I13" i="1"/>
  <c r="G13" i="1"/>
  <c r="H13" i="1" s="1"/>
  <c r="K12" i="1"/>
  <c r="J12" i="1"/>
  <c r="I12" i="1"/>
  <c r="G12" i="1"/>
  <c r="H12" i="1" s="1"/>
  <c r="K11" i="1"/>
  <c r="J11" i="1"/>
  <c r="I11" i="1"/>
  <c r="G11" i="1"/>
  <c r="H11" i="1" s="1"/>
  <c r="K10" i="1"/>
  <c r="J10" i="1"/>
  <c r="I10" i="1"/>
  <c r="G10" i="1"/>
  <c r="H10" i="1" s="1"/>
  <c r="K9" i="1"/>
  <c r="J9" i="1"/>
  <c r="I9" i="1"/>
  <c r="G9" i="1"/>
  <c r="H9" i="1" s="1"/>
  <c r="K8" i="1"/>
  <c r="J8" i="1"/>
  <c r="I8" i="1"/>
  <c r="G8" i="1"/>
  <c r="H8" i="1" s="1"/>
  <c r="K7" i="1"/>
  <c r="J7" i="1"/>
  <c r="I7" i="1"/>
  <c r="G7" i="1"/>
  <c r="H7" i="1" s="1"/>
  <c r="K6" i="1"/>
  <c r="J6" i="1"/>
  <c r="I6" i="1"/>
  <c r="G6" i="1"/>
  <c r="H6" i="1" s="1"/>
  <c r="K5" i="1"/>
  <c r="J5" i="1"/>
  <c r="I5" i="1"/>
  <c r="G5" i="1"/>
  <c r="H5" i="1" s="1"/>
  <c r="K4" i="1"/>
  <c r="J4" i="1"/>
  <c r="I4" i="1"/>
  <c r="G4" i="1"/>
  <c r="H4" i="1" s="1"/>
  <c r="K3" i="1"/>
  <c r="J3" i="1"/>
  <c r="I3" i="1"/>
  <c r="G3" i="1"/>
  <c r="H3" i="1" s="1"/>
  <c r="K2" i="1"/>
  <c r="J2" i="1"/>
  <c r="I2" i="1"/>
  <c r="G2" i="1"/>
  <c r="B30" i="1" l="1" a="1"/>
  <c r="D25" i="1"/>
  <c r="B25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<sst xmlns="http://schemas.openxmlformats.org/spreadsheetml/2006/main" count="185" uniqueCount="124">
  <si>
    <t>Student ID</t>
  </si>
  <si>
    <t>Name</t>
  </si>
  <si>
    <t>Math</t>
  </si>
  <si>
    <t>Science</t>
  </si>
  <si>
    <t>English</t>
  </si>
  <si>
    <t>Enrollment Date</t>
  </si>
  <si>
    <t>Avg</t>
  </si>
  <si>
    <t>Grade</t>
  </si>
  <si>
    <t>Status</t>
  </si>
  <si>
    <t>Name (Upper)</t>
  </si>
  <si>
    <t>Name (Lower)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</si>
  <si>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</si>
  <si>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</si>
  <si>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</si>
  <si>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</si>
  <si>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</si>
  <si>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</si>
  <si>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</si>
  <si>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</si>
  <si>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</si>
  <si>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</si>
  <si>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</si>
  <si>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</si>
  <si>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</si>
  <si>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</si>
  <si>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</si>
  <si>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</si>
  <si>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</si>
  <si>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</si>
  <si>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</si>
  <si>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</si>
  <si>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COUNTIFS</t>
  </si>
  <si>
    <t>AVERAGEIFS</t>
  </si>
  <si>
    <t>Filter</t>
  </si>
  <si>
    <t>Sales ID</t>
  </si>
  <si>
    <t>Product</t>
  </si>
  <si>
    <t>Region</t>
  </si>
  <si>
    <t>Salesperson</t>
  </si>
  <si>
    <t>Amount</t>
  </si>
  <si>
    <t>Date</t>
  </si>
  <si>
    <t>Discount</t>
  </si>
  <si>
    <t>IF + OR</t>
  </si>
  <si>
    <t>Round of</t>
  </si>
  <si>
    <t>Ceiling</t>
  </si>
  <si>
    <t>Floor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</si>
  <si>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</si>
  <si>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</si>
  <si>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</si>
  <si>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</si>
  <si>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</si>
  <si>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</si>
  <si>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</si>
  <si>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</si>
  <si>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</si>
  <si>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</si>
  <si>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</si>
  <si>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</si>
  <si>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</si>
  <si>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</si>
  <si>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</si>
  <si>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</si>
  <si>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</si>
  <si>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</si>
  <si>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</si>
  <si>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</si>
  <si>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</si>
  <si>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</si>
  <si>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</si>
  <si>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</si>
  <si>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</si>
  <si>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</si>
  <si>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</si>
  <si>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</si>
  <si>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</si>
  <si>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Vlookup</t>
  </si>
  <si>
    <t>Xmatch</t>
  </si>
  <si>
    <t>Input</t>
  </si>
  <si>
    <t>mouse</t>
  </si>
  <si>
    <t>laptop</t>
  </si>
  <si>
    <t>Output</t>
  </si>
  <si>
    <t>SUMIF</t>
  </si>
  <si>
    <t>Indirect</t>
  </si>
  <si>
    <t>Product Name</t>
  </si>
  <si>
    <t>d6</t>
  </si>
  <si>
    <t>east</t>
  </si>
  <si>
    <t>Total</t>
  </si>
  <si>
    <t>Employee ID</t>
  </si>
  <si>
    <t>Department</t>
  </si>
  <si>
    <t>Salary</t>
  </si>
  <si>
    <t>Joining Date</t>
  </si>
  <si>
    <t>Joing Year</t>
  </si>
  <si>
    <t>Days of Service</t>
  </si>
  <si>
    <t>Increment (10%)</t>
  </si>
  <si>
    <t>Employee 1</t>
  </si>
  <si>
    <t>Finance</t>
  </si>
  <si>
    <t xml:space="preserve"> Salary Hike (Absolute Reference)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</si>
  <si>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</si>
  <si>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</si>
  <si>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</si>
  <si>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</si>
  <si>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</si>
  <si>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</si>
  <si>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</si>
  <si>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</si>
  <si>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</si>
  <si>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</si>
  <si>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</si>
  <si>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</si>
  <si>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</si>
  <si>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</si>
  <si>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</si>
  <si>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</si>
  <si>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</si>
  <si>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</si>
  <si>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</si>
  <si>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</si>
  <si>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</si>
  <si>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</si>
  <si>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Xlookup</t>
  </si>
  <si>
    <t>Index + match</t>
  </si>
  <si>
    <t>Difference between two dates</t>
  </si>
  <si>
    <t>First Date</t>
  </si>
  <si>
    <t>Last Date</t>
  </si>
  <si>
    <t>Ans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</si>
</sst>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7" xfId="0" applyBorder="1"/>
    <xf numFmtId="2" fontId="0" fillId="0" borderId="7" xfId="0" applyNumberFormat="1" applyBorder="1"/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8" fontId="4" fillId="0" borderId="5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8" fontId="0" fillId="0" borderId="7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8" fontId="0" fillId="0" borderId="7" xfId="0" applyNumberFormat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8" fontId="4" fillId="0" borderId="13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8" fontId="0" fillId="0" borderId="16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8" fontId="0" fillId="0" borderId="19" xfId="0" applyNumberFormat="1" applyBorder="1" applyAlignment="1">
      <alignment horizontal="center" vertical="center"/>
    </xf>
    <xf numFmtId="8" fontId="0" fillId="0" borderId="15" xfId="0" applyNumberForma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14" fontId="0" fillId="0" borderId="7" xfId="0" applyNumberForma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3177-B031-4629-9C1E-6F23F73015C2}">
  <dimension ref="A1:K35"/>
  <sheetViews>
    <sheetView tabSelected="1" workbookViewId="0">
      <selection activeCell="E27" sqref="E27"/>
    </sheetView>
  </sheetViews>
  <sheetFormatPr defaultRowHeight="14.5" x14ac:dyDescent="0.35"/>
  <cols>
    <col min="1" max="1" width="13.453125" customWidth="1"/>
    <col min="2" max="2" width="13.81640625" customWidth="1"/>
    <col min="3" max="3" width="12.1796875" customWidth="1"/>
    <col min="4" max="4" width="16.453125" customWidth="1"/>
    <col min="5" max="5" width="12.453125" customWidth="1"/>
    <col min="6" max="6" width="21.6328125" customWidth="1"/>
    <col min="7" max="7" width="12.26953125" customWidth="1"/>
    <col min="8" max="8" width="11.453125" customWidth="1"/>
    <col min="9" max="9" width="15.54296875" customWidth="1"/>
    <col min="10" max="10" width="16.81640625" customWidth="1"/>
    <col min="11" max="11" width="18.54296875" customWidth="1"/>
    <col min="12" max="12" width="11.90625" customWidth="1"/>
    <col min="13" max="13" width="9.453125" bestFit="1" customWidth="1"/>
    <col min="14" max="14" width="11.1796875" bestFit="1" customWidth="1"/>
  </cols>
  <sheetData>
    <row r="1" spans="1:11" ht="29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 ht="15" thickBot="1" x14ac:dyDescent="0.4">
      <c r="A2" s="4">
        <v>1001</v>
      </c>
      <c r="B2" s="5" t="s">
        <v>11</v>
      </c>
      <c r="C2" s="5">
        <v>61</v>
      </c>
      <c r="D2" s="5">
        <v>48</v>
      </c>
      <c r="E2" s="5">
        <v>76</v>
      </c>
      <c r="F2" s="6">
        <v>43101</v>
      </c>
      <c r="G2" s="7">
        <f>AVERAGE(C2:E2)</f>
        <v>61.666666666666664</v>
      </c>
      <c r="H2" s="5" t="str">
        <f>IF(G2&gt;=90, "A",IF(G2&gt;=75, "B", IF(G2&gt;=60, "C", IF(G2&gt;=50, "D", "F"))))</f>
        <v>C</v>
      </c>
      <c r="I2" s="8" t="str">
        <f>IF(AND(C2&gt;75, D2&gt;75), "Qualified", "Not Qualified")</f>
        <v>Not Qualified</v>
      </c>
      <c r="J2" s="9" t="str">
        <f>UPPER(B2)</f>
        <v>STUDENT 1</v>
      </c>
      <c r="K2" s="9" t="str">
        <f>LOWER(B2)</f>
        <v>student 1</v>
      </c>
    </row>
    <row r="3" spans="1:11" ht="15" thickBot="1" x14ac:dyDescent="0.4">
      <c r="A3" s="4">
        <v>1002</v>
      </c>
      <c r="B3" s="5" t="s">
        <v>12</v>
      </c>
      <c r="C3" s="5">
        <v>78</v>
      </c>
      <c r="D3" s="5">
        <v>76</v>
      </c>
      <c r="E3" s="5">
        <v>70</v>
      </c>
      <c r="F3" s="6">
        <v>43281</v>
      </c>
      <c r="G3" s="7">
        <f t="shared" ref="G3:G21" si="0">AVERAGE(C3:E3)</f>
        <v>74.666666666666671</v>
      </c>
      <c r="H3" s="5" t="str">
        <f>IF(G3&gt;=90, "A",IF(G3&gt;=75, "B", IF(G3&gt;=60, "C", IF(G3&gt;=50, "D", "F"))))</f>
        <v>C</v>
      </c>
      <c r="I3" s="8" t="str">
        <f t="shared" ref="I3:I21" si="1">IF(AND(C3&gt;75, D3&gt;75), "Qualified", "Not Qualified")</f>
        <v>Qualified</v>
      </c>
      <c r="J3" s="9" t="str">
        <f t="shared" ref="J3:J21" si="2">UPPER(B3)</f>
        <v>STUDENT 2</v>
      </c>
      <c r="K3" s="9" t="str">
        <f t="shared" ref="K3:K21" si="3">LOWER(B3)</f>
        <v>student 2</v>
      </c>
    </row>
    <row r="4" spans="1:11" ht="15" thickBot="1" x14ac:dyDescent="0.4">
      <c r="A4" s="4">
        <v>1003</v>
      </c>
      <c r="B4" s="5" t="s">
        <v>13</v>
      </c>
      <c r="C4" s="5">
        <v>97</v>
      </c>
      <c r="D4" s="5">
        <v>60</v>
      </c>
      <c r="E4" s="5">
        <v>51</v>
      </c>
      <c r="F4" s="6">
        <v>43461</v>
      </c>
      <c r="G4" s="7">
        <f t="shared" si="0"/>
        <v>69.333333333333329</v>
      </c>
      <c r="H4" s="5" t="str">
        <f t="shared" ref="H4:H21" si="4">IF(G4&gt;=90, "A",IF(G4&gt;=75, "B", IF(G4&gt;=60, "C", IF(G4&gt;=50, "D", "F"))))</f>
        <v>C</v>
      </c>
      <c r="I4" s="8" t="str">
        <f t="shared" si="1"/>
        <v>Not Qualified</v>
      </c>
      <c r="J4" s="9" t="str">
        <f t="shared" si="2"/>
        <v>STUDENT 3</v>
      </c>
      <c r="K4" s="9" t="str">
        <f t="shared" si="3"/>
        <v>student 3</v>
      </c>
    </row>
    <row r="5" spans="1:11" ht="15" thickBot="1" x14ac:dyDescent="0.4">
      <c r="A5" s="4">
        <v>1004</v>
      </c>
      <c r="B5" s="5" t="s">
        <v>14</v>
      </c>
      <c r="C5" s="5">
        <v>74</v>
      </c>
      <c r="D5" s="5">
        <v>55</v>
      </c>
      <c r="E5" s="5">
        <v>46</v>
      </c>
      <c r="F5" s="6">
        <v>43641</v>
      </c>
      <c r="G5" s="7">
        <f t="shared" si="0"/>
        <v>58.333333333333336</v>
      </c>
      <c r="H5" s="5" t="str">
        <f t="shared" si="4"/>
        <v>D</v>
      </c>
      <c r="I5" s="8" t="str">
        <f>IF(AND(C5&gt;75, D5&gt;75), "Qualified", "Not Qualified")</f>
        <v>Not Qualified</v>
      </c>
      <c r="J5" s="9" t="str">
        <f t="shared" si="2"/>
        <v>STUDENT 4</v>
      </c>
      <c r="K5" s="9" t="str">
        <f t="shared" si="3"/>
        <v>student 4</v>
      </c>
    </row>
    <row r="6" spans="1:11" ht="15" thickBot="1" x14ac:dyDescent="0.4">
      <c r="A6" s="4">
        <v>1005</v>
      </c>
      <c r="B6" s="5" t="s">
        <v>15</v>
      </c>
      <c r="C6" s="5">
        <v>68</v>
      </c>
      <c r="D6" s="5">
        <v>74</v>
      </c>
      <c r="E6" s="5">
        <v>84</v>
      </c>
      <c r="F6" s="6">
        <v>43821</v>
      </c>
      <c r="G6" s="7">
        <f t="shared" si="0"/>
        <v>75.333333333333329</v>
      </c>
      <c r="H6" s="5" t="str">
        <f t="shared" si="4"/>
        <v>B</v>
      </c>
      <c r="I6" s="8" t="str">
        <f t="shared" si="1"/>
        <v>Not Qualified</v>
      </c>
      <c r="J6" s="9" t="str">
        <f t="shared" si="2"/>
        <v>STUDENT 5</v>
      </c>
      <c r="K6" s="9" t="str">
        <f t="shared" si="3"/>
        <v>student 5</v>
      </c>
    </row>
    <row r="7" spans="1:11" ht="15" thickBot="1" x14ac:dyDescent="0.4">
      <c r="A7" s="4">
        <v>1006</v>
      </c>
      <c r="B7" s="5" t="s">
        <v>16</v>
      </c>
      <c r="C7" s="5">
        <v>80</v>
      </c>
      <c r="D7" s="5">
        <v>70</v>
      </c>
      <c r="E7" s="5">
        <v>65</v>
      </c>
      <c r="F7" s="6">
        <v>44001</v>
      </c>
      <c r="G7" s="7">
        <f t="shared" si="0"/>
        <v>71.666666666666671</v>
      </c>
      <c r="H7" s="5" t="str">
        <f t="shared" si="4"/>
        <v>C</v>
      </c>
      <c r="I7" s="8" t="str">
        <f t="shared" si="1"/>
        <v>Not Qualified</v>
      </c>
      <c r="J7" s="9" t="str">
        <f t="shared" si="2"/>
        <v>STUDENT 6</v>
      </c>
      <c r="K7" s="9" t="str">
        <f t="shared" si="3"/>
        <v>student 6</v>
      </c>
    </row>
    <row r="8" spans="1:11" ht="15" thickBot="1" x14ac:dyDescent="0.4">
      <c r="A8" s="4">
        <v>1007</v>
      </c>
      <c r="B8" s="5" t="s">
        <v>17</v>
      </c>
      <c r="C8" s="5">
        <v>75</v>
      </c>
      <c r="D8" s="5">
        <v>47</v>
      </c>
      <c r="E8" s="5">
        <v>78</v>
      </c>
      <c r="F8" s="6">
        <v>44181</v>
      </c>
      <c r="G8" s="7">
        <f t="shared" si="0"/>
        <v>66.666666666666671</v>
      </c>
      <c r="H8" s="5" t="str">
        <f t="shared" si="4"/>
        <v>C</v>
      </c>
      <c r="I8" s="8" t="str">
        <f t="shared" si="1"/>
        <v>Not Qualified</v>
      </c>
      <c r="J8" s="9" t="str">
        <f t="shared" si="2"/>
        <v>STUDENT 7</v>
      </c>
      <c r="K8" s="9" t="str">
        <f t="shared" si="3"/>
        <v>student 7</v>
      </c>
    </row>
    <row r="9" spans="1:11" ht="15" thickBot="1" x14ac:dyDescent="0.4">
      <c r="A9" s="4">
        <v>1008</v>
      </c>
      <c r="B9" s="5" t="s">
        <v>18</v>
      </c>
      <c r="C9" s="5">
        <v>94</v>
      </c>
      <c r="D9" s="5">
        <v>67</v>
      </c>
      <c r="E9" s="5">
        <v>64</v>
      </c>
      <c r="F9" s="6">
        <v>44361</v>
      </c>
      <c r="G9" s="7">
        <f t="shared" si="0"/>
        <v>75</v>
      </c>
      <c r="H9" s="5" t="str">
        <f t="shared" si="4"/>
        <v>B</v>
      </c>
      <c r="I9" s="8" t="str">
        <f t="shared" si="1"/>
        <v>Not Qualified</v>
      </c>
      <c r="J9" s="9" t="str">
        <f t="shared" si="2"/>
        <v>STUDENT 8</v>
      </c>
      <c r="K9" s="9" t="str">
        <f t="shared" si="3"/>
        <v>student 8</v>
      </c>
    </row>
    <row r="10" spans="1:11" ht="15" thickBot="1" x14ac:dyDescent="0.4">
      <c r="A10" s="4">
        <v>1009</v>
      </c>
      <c r="B10" s="5" t="s">
        <v>19</v>
      </c>
      <c r="C10" s="5">
        <v>41</v>
      </c>
      <c r="D10" s="5">
        <v>75</v>
      </c>
      <c r="E10" s="5">
        <v>56</v>
      </c>
      <c r="F10" s="6">
        <v>44541</v>
      </c>
      <c r="G10" s="7">
        <f t="shared" si="0"/>
        <v>57.333333333333336</v>
      </c>
      <c r="H10" s="5" t="str">
        <f t="shared" si="4"/>
        <v>D</v>
      </c>
      <c r="I10" s="8" t="str">
        <f t="shared" si="1"/>
        <v>Not Qualified</v>
      </c>
      <c r="J10" s="9" t="str">
        <f t="shared" si="2"/>
        <v>STUDENT 9</v>
      </c>
      <c r="K10" s="9" t="str">
        <f t="shared" si="3"/>
        <v>student 9</v>
      </c>
    </row>
    <row r="11" spans="1:11" ht="15" thickBot="1" x14ac:dyDescent="0.4">
      <c r="A11" s="4">
        <v>1010</v>
      </c>
      <c r="B11" s="5" t="s">
        <v>20</v>
      </c>
      <c r="C11" s="5">
        <v>98</v>
      </c>
      <c r="D11" s="5">
        <v>54</v>
      </c>
      <c r="E11" s="5">
        <v>58</v>
      </c>
      <c r="F11" s="6">
        <v>44721</v>
      </c>
      <c r="G11" s="7">
        <f t="shared" si="0"/>
        <v>70</v>
      </c>
      <c r="H11" s="5" t="str">
        <f t="shared" si="4"/>
        <v>C</v>
      </c>
      <c r="I11" s="8" t="str">
        <f t="shared" si="1"/>
        <v>Not Qualified</v>
      </c>
      <c r="J11" s="9" t="str">
        <f t="shared" si="2"/>
        <v>STUDENT 10</v>
      </c>
      <c r="K11" s="9" t="str">
        <f t="shared" si="3"/>
        <v>student 10</v>
      </c>
    </row>
    <row r="12" spans="1:11" ht="15" thickBot="1" x14ac:dyDescent="0.4">
      <c r="A12" s="4">
        <v>1011</v>
      </c>
      <c r="B12" s="5" t="s">
        <v>21</v>
      </c>
      <c r="C12" s="5">
        <v>73</v>
      </c>
      <c r="D12" s="5">
        <v>79</v>
      </c>
      <c r="E12" s="5">
        <v>53</v>
      </c>
      <c r="F12" s="6">
        <v>44901</v>
      </c>
      <c r="G12" s="7">
        <f t="shared" si="0"/>
        <v>68.333333333333329</v>
      </c>
      <c r="H12" s="5" t="str">
        <f t="shared" si="4"/>
        <v>C</v>
      </c>
      <c r="I12" s="8" t="str">
        <f t="shared" si="1"/>
        <v>Not Qualified</v>
      </c>
      <c r="J12" s="9" t="str">
        <f t="shared" si="2"/>
        <v>STUDENT 11</v>
      </c>
      <c r="K12" s="9" t="str">
        <f t="shared" si="3"/>
        <v>student 11</v>
      </c>
    </row>
    <row r="13" spans="1:11" ht="15" thickBot="1" x14ac:dyDescent="0.4">
      <c r="A13" s="4">
        <v>1012</v>
      </c>
      <c r="B13" s="5" t="s">
        <v>22</v>
      </c>
      <c r="C13" s="5">
        <v>85</v>
      </c>
      <c r="D13" s="5">
        <v>89</v>
      </c>
      <c r="E13" s="5">
        <v>79</v>
      </c>
      <c r="F13" s="6">
        <v>45081</v>
      </c>
      <c r="G13" s="7">
        <f t="shared" si="0"/>
        <v>84.333333333333329</v>
      </c>
      <c r="H13" s="5" t="str">
        <f t="shared" si="4"/>
        <v>B</v>
      </c>
      <c r="I13" s="8" t="str">
        <f t="shared" si="1"/>
        <v>Qualified</v>
      </c>
      <c r="J13" s="9" t="str">
        <f t="shared" si="2"/>
        <v>STUDENT 12</v>
      </c>
      <c r="K13" s="9" t="str">
        <f t="shared" si="3"/>
        <v>student 12</v>
      </c>
    </row>
    <row r="14" spans="1:11" ht="15" thickBot="1" x14ac:dyDescent="0.4">
      <c r="A14" s="4">
        <v>1013</v>
      </c>
      <c r="B14" s="5" t="s">
        <v>23</v>
      </c>
      <c r="C14" s="5">
        <v>98</v>
      </c>
      <c r="D14" s="5">
        <v>90</v>
      </c>
      <c r="E14" s="5">
        <v>97</v>
      </c>
      <c r="F14" s="6">
        <v>45261</v>
      </c>
      <c r="G14" s="7">
        <f t="shared" si="0"/>
        <v>95</v>
      </c>
      <c r="H14" s="5" t="str">
        <f t="shared" si="4"/>
        <v>A</v>
      </c>
      <c r="I14" s="8" t="str">
        <f t="shared" si="1"/>
        <v>Qualified</v>
      </c>
      <c r="J14" s="9" t="str">
        <f t="shared" si="2"/>
        <v>STUDENT 13</v>
      </c>
      <c r="K14" s="9" t="str">
        <f t="shared" si="3"/>
        <v>student 13</v>
      </c>
    </row>
    <row r="15" spans="1:11" ht="15" thickBot="1" x14ac:dyDescent="0.4">
      <c r="A15" s="4">
        <v>1014</v>
      </c>
      <c r="B15" s="5" t="s">
        <v>24</v>
      </c>
      <c r="C15" s="5">
        <v>93</v>
      </c>
      <c r="D15" s="5">
        <v>40</v>
      </c>
      <c r="E15" s="5">
        <v>44</v>
      </c>
      <c r="F15" s="6">
        <v>45441</v>
      </c>
      <c r="G15" s="7">
        <f t="shared" si="0"/>
        <v>59</v>
      </c>
      <c r="H15" s="5" t="str">
        <f t="shared" si="4"/>
        <v>D</v>
      </c>
      <c r="I15" s="8" t="str">
        <f t="shared" si="1"/>
        <v>Not Qualified</v>
      </c>
      <c r="J15" s="9" t="str">
        <f t="shared" si="2"/>
        <v>STUDENT 14</v>
      </c>
      <c r="K15" s="9" t="str">
        <f t="shared" si="3"/>
        <v>student 14</v>
      </c>
    </row>
    <row r="16" spans="1:11" ht="15" thickBot="1" x14ac:dyDescent="0.4">
      <c r="A16" s="4">
        <v>1015</v>
      </c>
      <c r="B16" s="5" t="s">
        <v>25</v>
      </c>
      <c r="C16" s="5">
        <v>70</v>
      </c>
      <c r="D16" s="5">
        <v>51</v>
      </c>
      <c r="E16" s="5">
        <v>75</v>
      </c>
      <c r="F16" s="6">
        <v>45621</v>
      </c>
      <c r="G16" s="7">
        <f t="shared" si="0"/>
        <v>65.333333333333329</v>
      </c>
      <c r="H16" s="5" t="str">
        <f t="shared" si="4"/>
        <v>C</v>
      </c>
      <c r="I16" s="8" t="str">
        <f t="shared" si="1"/>
        <v>Not Qualified</v>
      </c>
      <c r="J16" s="9" t="str">
        <f t="shared" si="2"/>
        <v>STUDENT 15</v>
      </c>
      <c r="K16" s="9" t="str">
        <f t="shared" si="3"/>
        <v>student 15</v>
      </c>
    </row>
    <row r="17" spans="1:11" ht="15" thickBot="1" x14ac:dyDescent="0.4">
      <c r="A17" s="4">
        <v>1016</v>
      </c>
      <c r="B17" s="5" t="s">
        <v>26</v>
      </c>
      <c r="C17" s="5">
        <v>98</v>
      </c>
      <c r="D17" s="5">
        <v>77</v>
      </c>
      <c r="E17" s="5">
        <v>60</v>
      </c>
      <c r="F17" s="6">
        <v>45801</v>
      </c>
      <c r="G17" s="7">
        <f t="shared" si="0"/>
        <v>78.333333333333329</v>
      </c>
      <c r="H17" s="5" t="str">
        <f t="shared" si="4"/>
        <v>B</v>
      </c>
      <c r="I17" s="8" t="str">
        <f t="shared" si="1"/>
        <v>Qualified</v>
      </c>
      <c r="J17" s="9" t="str">
        <f t="shared" si="2"/>
        <v>STUDENT 16</v>
      </c>
      <c r="K17" s="9" t="str">
        <f t="shared" si="3"/>
        <v>student 16</v>
      </c>
    </row>
    <row r="18" spans="1:11" ht="15" thickBot="1" x14ac:dyDescent="0.4">
      <c r="A18" s="4">
        <v>1017</v>
      </c>
      <c r="B18" s="5" t="s">
        <v>27</v>
      </c>
      <c r="C18" s="5">
        <v>66</v>
      </c>
      <c r="D18" s="5">
        <v>59</v>
      </c>
      <c r="E18" s="5">
        <v>40</v>
      </c>
      <c r="F18" s="6">
        <v>45981</v>
      </c>
      <c r="G18" s="7">
        <f t="shared" si="0"/>
        <v>55</v>
      </c>
      <c r="H18" s="5" t="str">
        <f t="shared" si="4"/>
        <v>D</v>
      </c>
      <c r="I18" s="8" t="str">
        <f t="shared" si="1"/>
        <v>Not Qualified</v>
      </c>
      <c r="J18" s="9" t="str">
        <f t="shared" si="2"/>
        <v>STUDENT 17</v>
      </c>
      <c r="K18" s="9" t="str">
        <f t="shared" si="3"/>
        <v>student 17</v>
      </c>
    </row>
    <row r="19" spans="1:11" ht="15" thickBot="1" x14ac:dyDescent="0.4">
      <c r="A19" s="4">
        <v>1018</v>
      </c>
      <c r="B19" s="5" t="s">
        <v>28</v>
      </c>
      <c r="C19" s="5">
        <v>82</v>
      </c>
      <c r="D19" s="5">
        <v>48</v>
      </c>
      <c r="E19" s="5">
        <v>79</v>
      </c>
      <c r="F19" s="6">
        <v>46161</v>
      </c>
      <c r="G19" s="7">
        <f t="shared" si="0"/>
        <v>69.666666666666671</v>
      </c>
      <c r="H19" s="5" t="str">
        <f t="shared" si="4"/>
        <v>C</v>
      </c>
      <c r="I19" s="8" t="str">
        <f t="shared" si="1"/>
        <v>Not Qualified</v>
      </c>
      <c r="J19" s="9" t="str">
        <f t="shared" si="2"/>
        <v>STUDENT 18</v>
      </c>
      <c r="K19" s="9" t="str">
        <f t="shared" si="3"/>
        <v>student 18</v>
      </c>
    </row>
    <row r="20" spans="1:11" ht="15" thickBot="1" x14ac:dyDescent="0.4">
      <c r="A20" s="4">
        <v>1019</v>
      </c>
      <c r="B20" s="5" t="s">
        <v>29</v>
      </c>
      <c r="C20" s="5">
        <v>90</v>
      </c>
      <c r="D20" s="5">
        <v>78</v>
      </c>
      <c r="E20" s="5">
        <v>60</v>
      </c>
      <c r="F20" s="6">
        <v>46341</v>
      </c>
      <c r="G20" s="7">
        <f t="shared" si="0"/>
        <v>76</v>
      </c>
      <c r="H20" s="5" t="str">
        <f t="shared" si="4"/>
        <v>B</v>
      </c>
      <c r="I20" s="8" t="str">
        <f t="shared" si="1"/>
        <v>Qualified</v>
      </c>
      <c r="J20" s="9" t="str">
        <f t="shared" si="2"/>
        <v>STUDENT 19</v>
      </c>
      <c r="K20" s="9" t="str">
        <f t="shared" si="3"/>
        <v>student 19</v>
      </c>
    </row>
    <row r="21" spans="1:11" ht="15" thickBot="1" x14ac:dyDescent="0.4">
      <c r="A21" s="4">
        <v>1020</v>
      </c>
      <c r="B21" s="5" t="s">
        <v>30</v>
      </c>
      <c r="C21" s="5">
        <v>83</v>
      </c>
      <c r="D21" s="5">
        <v>92</v>
      </c>
      <c r="E21" s="5">
        <v>55</v>
      </c>
      <c r="F21" s="6">
        <v>46521</v>
      </c>
      <c r="G21" s="7">
        <f t="shared" si="0"/>
        <v>76.666666666666671</v>
      </c>
      <c r="H21" s="5" t="str">
        <f t="shared" si="4"/>
        <v>B</v>
      </c>
      <c r="I21" s="8" t="str">
        <f t="shared" si="1"/>
        <v>Qualified</v>
      </c>
      <c r="J21" s="9" t="str">
        <f t="shared" si="2"/>
        <v>STUDENT 20</v>
      </c>
      <c r="K21" s="9" t="str">
        <f t="shared" si="3"/>
        <v>student 20</v>
      </c>
    </row>
    <row r="23" spans="1:11" ht="15" thickBot="1" x14ac:dyDescent="0.4"/>
    <row r="24" spans="1:11" ht="19" thickBot="1" x14ac:dyDescent="0.4">
      <c r="B24" s="10" t="s">
        <v>31</v>
      </c>
      <c r="D24" s="10" t="s">
        <v>32</v>
      </c>
    </row>
    <row r="25" spans="1:11" ht="15" thickBot="1" x14ac:dyDescent="0.4">
      <c r="B25" s="11">
        <f>COUNTIF(G2:G21, "&gt;60")</f>
        <v>16</v>
      </c>
      <c r="D25" s="12">
        <f>AVERAGEIFS(G2:G21, G2:G21, "&gt;60")</f>
        <v>73.625000000000014</v>
      </c>
    </row>
    <row r="29" spans="1:11" ht="19" thickBot="1" x14ac:dyDescent="0.4">
      <c r="B29" s="13" t="s">
        <v>33</v>
      </c>
    </row>
    <row r="30" spans="1:11" ht="15" thickBot="1" x14ac:dyDescent="0.4">
      <c r="B30" s="11" cm="1">
        <f t="array" ref="B30:I35">_xlfn._xlws.FILTER(A2:H21,G2:G21 &gt; 75)</f>
        <v>1005</v>
      </c>
      <c r="C30" t="str">
        <v>Student 5</v>
      </c>
      <c r="D30">
        <v>68</v>
      </c>
      <c r="E30">
        <v>74</v>
      </c>
      <c r="F30">
        <v>84</v>
      </c>
      <c r="G30">
        <v>43821</v>
      </c>
      <c r="H30">
        <v>75.333333333333329</v>
      </c>
      <c r="I30" t="str">
        <v>B</v>
      </c>
    </row>
    <row r="31" spans="1:11" x14ac:dyDescent="0.35">
      <c r="B31">
        <v>1012</v>
      </c>
      <c r="C31" t="str">
        <v>Student 12</v>
      </c>
      <c r="D31">
        <v>85</v>
      </c>
      <c r="E31">
        <v>89</v>
      </c>
      <c r="F31">
        <v>79</v>
      </c>
      <c r="G31">
        <v>45081</v>
      </c>
      <c r="H31">
        <v>84.333333333333329</v>
      </c>
      <c r="I31" t="str">
        <v>B</v>
      </c>
    </row>
    <row r="32" spans="1:11" x14ac:dyDescent="0.35">
      <c r="B32">
        <v>1013</v>
      </c>
      <c r="C32" t="str">
        <v>Student 13</v>
      </c>
      <c r="D32">
        <v>98</v>
      </c>
      <c r="E32">
        <v>90</v>
      </c>
      <c r="F32">
        <v>97</v>
      </c>
      <c r="G32">
        <v>45261</v>
      </c>
      <c r="H32">
        <v>95</v>
      </c>
      <c r="I32" t="str">
        <v>A</v>
      </c>
    </row>
    <row r="33" spans="2:9" x14ac:dyDescent="0.35">
      <c r="B33">
        <v>1016</v>
      </c>
      <c r="C33" t="str">
        <v>Student 16</v>
      </c>
      <c r="D33">
        <v>98</v>
      </c>
      <c r="E33">
        <v>77</v>
      </c>
      <c r="F33">
        <v>60</v>
      </c>
      <c r="G33">
        <v>45801</v>
      </c>
      <c r="H33">
        <v>78.333333333333329</v>
      </c>
      <c r="I33" t="str">
        <v>B</v>
      </c>
    </row>
    <row r="34" spans="2:9" x14ac:dyDescent="0.35">
      <c r="B34">
        <v>1019</v>
      </c>
      <c r="C34" t="str">
        <v>Student 19</v>
      </c>
      <c r="D34">
        <v>90</v>
      </c>
      <c r="E34">
        <v>78</v>
      </c>
      <c r="F34">
        <v>60</v>
      </c>
      <c r="G34">
        <v>46341</v>
      </c>
      <c r="H34">
        <v>76</v>
      </c>
      <c r="I34" t="str">
        <v>B</v>
      </c>
    </row>
    <row r="35" spans="2:9" x14ac:dyDescent="0.35">
      <c r="B35">
        <v>1020</v>
      </c>
      <c r="C35" t="str">
        <v>Student 20</v>
      </c>
      <c r="D35">
        <v>83</v>
      </c>
      <c r="E35">
        <v>92</v>
      </c>
      <c r="F35">
        <v>55</v>
      </c>
      <c r="G35">
        <v>46521</v>
      </c>
      <c r="H35">
        <v>76.666666666666671</v>
      </c>
      <c r="I35" t="str">
        <v>B</v>
      </c>
    </row>
  </sheetData>
  <pageMargins left="0.7" right="0.7" top="0.75" bottom="0.75" header="0.3" footer="0.3"/>
  <ignoredErrors>
    <ignoredError sqref="G2:G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8588-402C-487D-97F9-845B67CDA825}">
  <dimension ref="A1:K32"/>
  <sheetViews>
    <sheetView workbookViewId="0">
      <selection activeCell="H28" sqref="H28"/>
    </sheetView>
  </sheetViews>
  <sheetFormatPr defaultRowHeight="14.5" x14ac:dyDescent="0.35"/>
  <cols>
    <col min="1" max="1" width="11.6328125" customWidth="1"/>
    <col min="2" max="2" width="13.6328125" customWidth="1"/>
    <col min="3" max="3" width="12.81640625" customWidth="1"/>
    <col min="4" max="4" width="14.90625" customWidth="1"/>
    <col min="5" max="5" width="15.1796875" customWidth="1"/>
    <col min="6" max="6" width="14.54296875" customWidth="1"/>
    <col min="7" max="7" width="13.36328125" customWidth="1"/>
    <col min="8" max="8" width="15.453125" customWidth="1"/>
    <col min="9" max="9" width="16.26953125" customWidth="1"/>
    <col min="10" max="10" width="15.1796875" customWidth="1"/>
    <col min="11" max="11" width="16.1796875" customWidth="1"/>
  </cols>
  <sheetData>
    <row r="1" spans="1:11" ht="37.5" thickBot="1" x14ac:dyDescent="0.4">
      <c r="A1" s="1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14" t="s">
        <v>40</v>
      </c>
      <c r="H1" s="15" t="s">
        <v>41</v>
      </c>
      <c r="I1" s="15" t="s">
        <v>42</v>
      </c>
      <c r="J1" s="15" t="s">
        <v>43</v>
      </c>
      <c r="K1" s="15" t="s">
        <v>44</v>
      </c>
    </row>
    <row r="2" spans="1:11" ht="15" thickBot="1" x14ac:dyDescent="0.4">
      <c r="A2" s="4">
        <v>2001</v>
      </c>
      <c r="B2" s="5" t="s">
        <v>45</v>
      </c>
      <c r="C2" s="5" t="s">
        <v>46</v>
      </c>
      <c r="D2" s="5" t="s">
        <v>47</v>
      </c>
      <c r="E2" s="16">
        <v>7048</v>
      </c>
      <c r="F2" s="17">
        <v>44927</v>
      </c>
      <c r="G2" s="18">
        <f>IF(E2&gt;=40000,E2*10%,IF(E2&gt;=20000,E2*5%,0))</f>
        <v>0</v>
      </c>
      <c r="H2" s="18" t="str">
        <f>IF(OR(B2="Laptop",B2="keyboard"),"Eligible","Not Eligible")</f>
        <v>Eligible</v>
      </c>
      <c r="I2" s="18">
        <f t="shared" ref="I2:I21" si="0">ROUND(E2,-3)</f>
        <v>7000</v>
      </c>
      <c r="J2" s="18">
        <f>CEILING(E2,1000)</f>
        <v>8000</v>
      </c>
      <c r="K2" s="18">
        <f>FLOOR(E2,1000)</f>
        <v>7000</v>
      </c>
    </row>
    <row r="3" spans="1:11" ht="15" thickBot="1" x14ac:dyDescent="0.4">
      <c r="A3" s="4">
        <v>2002</v>
      </c>
      <c r="B3" s="5" t="s">
        <v>48</v>
      </c>
      <c r="C3" s="5" t="s">
        <v>49</v>
      </c>
      <c r="D3" s="5" t="s">
        <v>50</v>
      </c>
      <c r="E3" s="16">
        <v>17428</v>
      </c>
      <c r="F3" s="17">
        <v>44942</v>
      </c>
      <c r="G3" s="18">
        <f t="shared" ref="G3:G21" si="1">IF(E3&gt;=40000,E3*10%,IF(E3&gt;=20000,E3*5%,0))</f>
        <v>0</v>
      </c>
      <c r="H3" s="18" t="str">
        <f t="shared" ref="H3:H21" si="2">IF(OR(B3="Laptop",B3="keyboard"),"Eligible","Not Eligible")</f>
        <v>Not Eligible</v>
      </c>
      <c r="I3" s="18">
        <f t="shared" si="0"/>
        <v>17000</v>
      </c>
      <c r="J3" s="18">
        <f t="shared" ref="J3:J21" si="3">CEILING(E3,1000)</f>
        <v>18000</v>
      </c>
      <c r="K3" s="18">
        <f t="shared" ref="K3:K21" si="4">FLOOR(E3,1000)</f>
        <v>17000</v>
      </c>
    </row>
    <row r="4" spans="1:11" ht="15" thickBot="1" x14ac:dyDescent="0.4">
      <c r="A4" s="4">
        <v>2003</v>
      </c>
      <c r="B4" s="5" t="s">
        <v>51</v>
      </c>
      <c r="C4" s="5" t="s">
        <v>46</v>
      </c>
      <c r="D4" s="5" t="s">
        <v>52</v>
      </c>
      <c r="E4" s="16">
        <v>23672</v>
      </c>
      <c r="F4" s="17">
        <v>44957</v>
      </c>
      <c r="G4" s="18">
        <f t="shared" si="1"/>
        <v>1183.6000000000001</v>
      </c>
      <c r="H4" s="18" t="str">
        <f t="shared" si="2"/>
        <v>Not Eligible</v>
      </c>
      <c r="I4" s="18">
        <f t="shared" si="0"/>
        <v>24000</v>
      </c>
      <c r="J4" s="18">
        <f t="shared" si="3"/>
        <v>24000</v>
      </c>
      <c r="K4" s="18">
        <f t="shared" si="4"/>
        <v>23000</v>
      </c>
    </row>
    <row r="5" spans="1:11" ht="15" thickBot="1" x14ac:dyDescent="0.4">
      <c r="A5" s="4">
        <v>2004</v>
      </c>
      <c r="B5" s="5" t="s">
        <v>48</v>
      </c>
      <c r="C5" s="5" t="s">
        <v>53</v>
      </c>
      <c r="D5" s="5" t="s">
        <v>54</v>
      </c>
      <c r="E5" s="16">
        <v>5264</v>
      </c>
      <c r="F5" s="17">
        <v>44972</v>
      </c>
      <c r="G5" s="18">
        <f t="shared" si="1"/>
        <v>0</v>
      </c>
      <c r="H5" s="18" t="str">
        <f t="shared" si="2"/>
        <v>Not Eligible</v>
      </c>
      <c r="I5" s="18">
        <f t="shared" si="0"/>
        <v>5000</v>
      </c>
      <c r="J5" s="18">
        <f t="shared" si="3"/>
        <v>6000</v>
      </c>
      <c r="K5" s="18">
        <f t="shared" si="4"/>
        <v>5000</v>
      </c>
    </row>
    <row r="6" spans="1:11" ht="15" thickBot="1" x14ac:dyDescent="0.4">
      <c r="A6" s="4">
        <v>2005</v>
      </c>
      <c r="B6" s="5" t="s">
        <v>45</v>
      </c>
      <c r="C6" s="5" t="s">
        <v>55</v>
      </c>
      <c r="D6" s="5" t="s">
        <v>56</v>
      </c>
      <c r="E6" s="16">
        <v>43388</v>
      </c>
      <c r="F6" s="17">
        <v>44987</v>
      </c>
      <c r="G6" s="18">
        <f t="shared" si="1"/>
        <v>4338.8</v>
      </c>
      <c r="H6" s="18" t="str">
        <f t="shared" si="2"/>
        <v>Eligible</v>
      </c>
      <c r="I6" s="18">
        <f t="shared" si="0"/>
        <v>43000</v>
      </c>
      <c r="J6" s="18">
        <f t="shared" si="3"/>
        <v>44000</v>
      </c>
      <c r="K6" s="18">
        <f t="shared" si="4"/>
        <v>43000</v>
      </c>
    </row>
    <row r="7" spans="1:11" ht="15" thickBot="1" x14ac:dyDescent="0.4">
      <c r="A7" s="4">
        <v>2006</v>
      </c>
      <c r="B7" s="5" t="s">
        <v>51</v>
      </c>
      <c r="C7" s="5" t="s">
        <v>55</v>
      </c>
      <c r="D7" s="5" t="s">
        <v>57</v>
      </c>
      <c r="E7" s="16">
        <v>19757</v>
      </c>
      <c r="F7" s="17">
        <v>45002</v>
      </c>
      <c r="G7" s="18">
        <f t="shared" si="1"/>
        <v>0</v>
      </c>
      <c r="H7" s="18" t="str">
        <f t="shared" si="2"/>
        <v>Not Eligible</v>
      </c>
      <c r="I7" s="18">
        <f t="shared" si="0"/>
        <v>20000</v>
      </c>
      <c r="J7" s="18">
        <f t="shared" si="3"/>
        <v>20000</v>
      </c>
      <c r="K7" s="18">
        <f t="shared" si="4"/>
        <v>19000</v>
      </c>
    </row>
    <row r="8" spans="1:11" ht="15" thickBot="1" x14ac:dyDescent="0.4">
      <c r="A8" s="4">
        <v>2007</v>
      </c>
      <c r="B8" s="5" t="s">
        <v>51</v>
      </c>
      <c r="C8" s="5" t="s">
        <v>53</v>
      </c>
      <c r="D8" s="5" t="s">
        <v>58</v>
      </c>
      <c r="E8" s="16">
        <v>32058</v>
      </c>
      <c r="F8" s="17">
        <v>45017</v>
      </c>
      <c r="G8" s="18">
        <f t="shared" si="1"/>
        <v>1602.9</v>
      </c>
      <c r="H8" s="18" t="str">
        <f t="shared" si="2"/>
        <v>Not Eligible</v>
      </c>
      <c r="I8" s="18">
        <f t="shared" si="0"/>
        <v>32000</v>
      </c>
      <c r="J8" s="18">
        <f t="shared" si="3"/>
        <v>33000</v>
      </c>
      <c r="K8" s="18">
        <f t="shared" si="4"/>
        <v>32000</v>
      </c>
    </row>
    <row r="9" spans="1:11" ht="15" thickBot="1" x14ac:dyDescent="0.4">
      <c r="A9" s="4">
        <v>2008</v>
      </c>
      <c r="B9" s="5" t="s">
        <v>45</v>
      </c>
      <c r="C9" s="5" t="s">
        <v>53</v>
      </c>
      <c r="D9" s="5" t="s">
        <v>59</v>
      </c>
      <c r="E9" s="16">
        <v>46429</v>
      </c>
      <c r="F9" s="17">
        <v>45032</v>
      </c>
      <c r="G9" s="18">
        <f t="shared" si="1"/>
        <v>4642.9000000000005</v>
      </c>
      <c r="H9" s="18" t="str">
        <f t="shared" si="2"/>
        <v>Eligible</v>
      </c>
      <c r="I9" s="18">
        <f t="shared" si="0"/>
        <v>46000</v>
      </c>
      <c r="J9" s="18">
        <f t="shared" si="3"/>
        <v>47000</v>
      </c>
      <c r="K9" s="18">
        <f t="shared" si="4"/>
        <v>46000</v>
      </c>
    </row>
    <row r="10" spans="1:11" ht="15" thickBot="1" x14ac:dyDescent="0.4">
      <c r="A10" s="4">
        <v>2009</v>
      </c>
      <c r="B10" s="5" t="s">
        <v>48</v>
      </c>
      <c r="C10" s="5" t="s">
        <v>53</v>
      </c>
      <c r="D10" s="5" t="s">
        <v>60</v>
      </c>
      <c r="E10" s="16">
        <v>19746</v>
      </c>
      <c r="F10" s="17">
        <v>45047</v>
      </c>
      <c r="G10" s="18">
        <f t="shared" si="1"/>
        <v>0</v>
      </c>
      <c r="H10" s="18" t="str">
        <f t="shared" si="2"/>
        <v>Not Eligible</v>
      </c>
      <c r="I10" s="18">
        <f t="shared" si="0"/>
        <v>20000</v>
      </c>
      <c r="J10" s="18">
        <f t="shared" si="3"/>
        <v>20000</v>
      </c>
      <c r="K10" s="18">
        <f t="shared" si="4"/>
        <v>19000</v>
      </c>
    </row>
    <row r="11" spans="1:11" ht="15" thickBot="1" x14ac:dyDescent="0.4">
      <c r="A11" s="4">
        <v>2010</v>
      </c>
      <c r="B11" s="5" t="s">
        <v>45</v>
      </c>
      <c r="C11" s="5" t="s">
        <v>46</v>
      </c>
      <c r="D11" s="5" t="s">
        <v>61</v>
      </c>
      <c r="E11" s="16">
        <v>35185</v>
      </c>
      <c r="F11" s="17">
        <v>45062</v>
      </c>
      <c r="G11" s="18">
        <f t="shared" si="1"/>
        <v>1759.25</v>
      </c>
      <c r="H11" s="18" t="str">
        <f t="shared" si="2"/>
        <v>Eligible</v>
      </c>
      <c r="I11" s="18">
        <f t="shared" si="0"/>
        <v>35000</v>
      </c>
      <c r="J11" s="18">
        <f t="shared" si="3"/>
        <v>36000</v>
      </c>
      <c r="K11" s="18">
        <f t="shared" si="4"/>
        <v>35000</v>
      </c>
    </row>
    <row r="12" spans="1:11" ht="15" thickBot="1" x14ac:dyDescent="0.4">
      <c r="A12" s="4">
        <v>2011</v>
      </c>
      <c r="B12" s="5" t="s">
        <v>45</v>
      </c>
      <c r="C12" s="5" t="s">
        <v>53</v>
      </c>
      <c r="D12" s="5" t="s">
        <v>62</v>
      </c>
      <c r="E12" s="16">
        <v>33920</v>
      </c>
      <c r="F12" s="17">
        <v>45077</v>
      </c>
      <c r="G12" s="18">
        <f t="shared" si="1"/>
        <v>1696</v>
      </c>
      <c r="H12" s="18" t="str">
        <f t="shared" si="2"/>
        <v>Eligible</v>
      </c>
      <c r="I12" s="18">
        <f t="shared" si="0"/>
        <v>34000</v>
      </c>
      <c r="J12" s="18">
        <f t="shared" si="3"/>
        <v>34000</v>
      </c>
      <c r="K12" s="18">
        <f t="shared" si="4"/>
        <v>33000</v>
      </c>
    </row>
    <row r="13" spans="1:11" ht="15" thickBot="1" x14ac:dyDescent="0.4">
      <c r="A13" s="4">
        <v>2012</v>
      </c>
      <c r="B13" s="5" t="s">
        <v>63</v>
      </c>
      <c r="C13" s="5" t="s">
        <v>55</v>
      </c>
      <c r="D13" s="5" t="s">
        <v>64</v>
      </c>
      <c r="E13" s="16">
        <v>35611</v>
      </c>
      <c r="F13" s="17">
        <v>45092</v>
      </c>
      <c r="G13" s="18">
        <f t="shared" si="1"/>
        <v>1780.5500000000002</v>
      </c>
      <c r="H13" s="18" t="str">
        <f t="shared" si="2"/>
        <v>Not Eligible</v>
      </c>
      <c r="I13" s="18">
        <f t="shared" si="0"/>
        <v>36000</v>
      </c>
      <c r="J13" s="18">
        <f t="shared" si="3"/>
        <v>36000</v>
      </c>
      <c r="K13" s="18">
        <f t="shared" si="4"/>
        <v>35000</v>
      </c>
    </row>
    <row r="14" spans="1:11" ht="15" thickBot="1" x14ac:dyDescent="0.4">
      <c r="A14" s="4">
        <v>2013</v>
      </c>
      <c r="B14" s="5" t="s">
        <v>65</v>
      </c>
      <c r="C14" s="5" t="s">
        <v>53</v>
      </c>
      <c r="D14" s="5" t="s">
        <v>66</v>
      </c>
      <c r="E14" s="16">
        <v>15560</v>
      </c>
      <c r="F14" s="17">
        <v>45107</v>
      </c>
      <c r="G14" s="18">
        <f t="shared" si="1"/>
        <v>0</v>
      </c>
      <c r="H14" s="18" t="str">
        <f t="shared" si="2"/>
        <v>Eligible</v>
      </c>
      <c r="I14" s="18">
        <f t="shared" si="0"/>
        <v>16000</v>
      </c>
      <c r="J14" s="18">
        <f t="shared" si="3"/>
        <v>16000</v>
      </c>
      <c r="K14" s="18">
        <f t="shared" si="4"/>
        <v>15000</v>
      </c>
    </row>
    <row r="15" spans="1:11" ht="15" thickBot="1" x14ac:dyDescent="0.4">
      <c r="A15" s="4">
        <v>2014</v>
      </c>
      <c r="B15" s="5" t="s">
        <v>65</v>
      </c>
      <c r="C15" s="5" t="s">
        <v>46</v>
      </c>
      <c r="D15" s="5" t="s">
        <v>67</v>
      </c>
      <c r="E15" s="16">
        <v>7283</v>
      </c>
      <c r="F15" s="17">
        <v>45122</v>
      </c>
      <c r="G15" s="18">
        <f t="shared" si="1"/>
        <v>0</v>
      </c>
      <c r="H15" s="18" t="str">
        <f t="shared" si="2"/>
        <v>Eligible</v>
      </c>
      <c r="I15" s="18">
        <f t="shared" si="0"/>
        <v>7000</v>
      </c>
      <c r="J15" s="18">
        <f t="shared" si="3"/>
        <v>8000</v>
      </c>
      <c r="K15" s="18">
        <f t="shared" si="4"/>
        <v>7000</v>
      </c>
    </row>
    <row r="16" spans="1:11" ht="15" thickBot="1" x14ac:dyDescent="0.4">
      <c r="A16" s="4">
        <v>2015</v>
      </c>
      <c r="B16" s="5" t="s">
        <v>65</v>
      </c>
      <c r="C16" s="5" t="s">
        <v>53</v>
      </c>
      <c r="D16" s="5" t="s">
        <v>68</v>
      </c>
      <c r="E16" s="16">
        <v>15678</v>
      </c>
      <c r="F16" s="17">
        <v>45137</v>
      </c>
      <c r="G16" s="18">
        <f t="shared" si="1"/>
        <v>0</v>
      </c>
      <c r="H16" s="18" t="str">
        <f t="shared" si="2"/>
        <v>Eligible</v>
      </c>
      <c r="I16" s="18">
        <f t="shared" si="0"/>
        <v>16000</v>
      </c>
      <c r="J16" s="18">
        <f t="shared" si="3"/>
        <v>16000</v>
      </c>
      <c r="K16" s="18">
        <f t="shared" si="4"/>
        <v>15000</v>
      </c>
    </row>
    <row r="17" spans="1:11" ht="15" thickBot="1" x14ac:dyDescent="0.4">
      <c r="A17" s="4">
        <v>2016</v>
      </c>
      <c r="B17" s="5" t="s">
        <v>51</v>
      </c>
      <c r="C17" s="5" t="s">
        <v>53</v>
      </c>
      <c r="D17" s="5" t="s">
        <v>69</v>
      </c>
      <c r="E17" s="16">
        <v>5277</v>
      </c>
      <c r="F17" s="17">
        <v>45152</v>
      </c>
      <c r="G17" s="18">
        <f t="shared" si="1"/>
        <v>0</v>
      </c>
      <c r="H17" s="18" t="str">
        <f t="shared" si="2"/>
        <v>Not Eligible</v>
      </c>
      <c r="I17" s="18">
        <f t="shared" si="0"/>
        <v>5000</v>
      </c>
      <c r="J17" s="18">
        <f t="shared" si="3"/>
        <v>6000</v>
      </c>
      <c r="K17" s="18">
        <f t="shared" si="4"/>
        <v>5000</v>
      </c>
    </row>
    <row r="18" spans="1:11" ht="15" thickBot="1" x14ac:dyDescent="0.4">
      <c r="A18" s="4">
        <v>2017</v>
      </c>
      <c r="B18" s="5" t="s">
        <v>63</v>
      </c>
      <c r="C18" s="5" t="s">
        <v>55</v>
      </c>
      <c r="D18" s="5" t="s">
        <v>70</v>
      </c>
      <c r="E18" s="16">
        <v>41871</v>
      </c>
      <c r="F18" s="17">
        <v>45167</v>
      </c>
      <c r="G18" s="18">
        <f t="shared" si="1"/>
        <v>4187.1000000000004</v>
      </c>
      <c r="H18" s="18" t="str">
        <f t="shared" si="2"/>
        <v>Not Eligible</v>
      </c>
      <c r="I18" s="18">
        <f t="shared" si="0"/>
        <v>42000</v>
      </c>
      <c r="J18" s="18">
        <f t="shared" si="3"/>
        <v>42000</v>
      </c>
      <c r="K18" s="18">
        <f t="shared" si="4"/>
        <v>41000</v>
      </c>
    </row>
    <row r="19" spans="1:11" ht="15" thickBot="1" x14ac:dyDescent="0.4">
      <c r="A19" s="4">
        <v>2018</v>
      </c>
      <c r="B19" s="5" t="s">
        <v>63</v>
      </c>
      <c r="C19" s="5" t="s">
        <v>49</v>
      </c>
      <c r="D19" s="5" t="s">
        <v>71</v>
      </c>
      <c r="E19" s="16">
        <v>38161</v>
      </c>
      <c r="F19" s="17">
        <v>45182</v>
      </c>
      <c r="G19" s="18">
        <f t="shared" si="1"/>
        <v>1908.0500000000002</v>
      </c>
      <c r="H19" s="18" t="str">
        <f t="shared" si="2"/>
        <v>Not Eligible</v>
      </c>
      <c r="I19" s="18">
        <f t="shared" si="0"/>
        <v>38000</v>
      </c>
      <c r="J19" s="18">
        <f t="shared" si="3"/>
        <v>39000</v>
      </c>
      <c r="K19" s="18">
        <f t="shared" si="4"/>
        <v>38000</v>
      </c>
    </row>
    <row r="20" spans="1:11" ht="15" thickBot="1" x14ac:dyDescent="0.4">
      <c r="A20" s="4">
        <v>2019</v>
      </c>
      <c r="B20" s="5" t="s">
        <v>51</v>
      </c>
      <c r="C20" s="5" t="s">
        <v>49</v>
      </c>
      <c r="D20" s="5" t="s">
        <v>72</v>
      </c>
      <c r="E20" s="16">
        <v>30436</v>
      </c>
      <c r="F20" s="17">
        <v>45197</v>
      </c>
      <c r="G20" s="18">
        <f t="shared" si="1"/>
        <v>1521.8000000000002</v>
      </c>
      <c r="H20" s="18" t="str">
        <f t="shared" si="2"/>
        <v>Not Eligible</v>
      </c>
      <c r="I20" s="18">
        <f t="shared" si="0"/>
        <v>30000</v>
      </c>
      <c r="J20" s="18">
        <f t="shared" si="3"/>
        <v>31000</v>
      </c>
      <c r="K20" s="18">
        <f t="shared" si="4"/>
        <v>30000</v>
      </c>
    </row>
    <row r="21" spans="1:11" ht="15" thickBot="1" x14ac:dyDescent="0.4">
      <c r="A21" s="4">
        <v>2020</v>
      </c>
      <c r="B21" s="5" t="s">
        <v>48</v>
      </c>
      <c r="C21" s="5" t="s">
        <v>49</v>
      </c>
      <c r="D21" s="5" t="s">
        <v>73</v>
      </c>
      <c r="E21" s="16">
        <v>33953</v>
      </c>
      <c r="F21" s="17">
        <v>45212</v>
      </c>
      <c r="G21" s="18">
        <f t="shared" si="1"/>
        <v>1697.65</v>
      </c>
      <c r="H21" s="18" t="str">
        <f t="shared" si="2"/>
        <v>Not Eligible</v>
      </c>
      <c r="I21" s="18">
        <f t="shared" si="0"/>
        <v>34000</v>
      </c>
      <c r="J21" s="18">
        <f t="shared" si="3"/>
        <v>34000</v>
      </c>
      <c r="K21" s="18">
        <f t="shared" si="4"/>
        <v>33000</v>
      </c>
    </row>
    <row r="23" spans="1:11" ht="15" thickBot="1" x14ac:dyDescent="0.4"/>
    <row r="24" spans="1:11" ht="19" thickBot="1" x14ac:dyDescent="0.4">
      <c r="B24" s="42" t="s">
        <v>74</v>
      </c>
      <c r="C24" s="42"/>
      <c r="D24" s="19"/>
      <c r="E24" s="42" t="s">
        <v>75</v>
      </c>
      <c r="F24" s="42"/>
    </row>
    <row r="25" spans="1:11" ht="15" thickBot="1" x14ac:dyDescent="0.4">
      <c r="B25" s="20" t="s">
        <v>76</v>
      </c>
      <c r="C25" s="9" t="s">
        <v>77</v>
      </c>
      <c r="E25" s="20" t="s">
        <v>76</v>
      </c>
      <c r="F25" s="9" t="s">
        <v>78</v>
      </c>
    </row>
    <row r="26" spans="1:11" ht="15" thickBot="1" x14ac:dyDescent="0.4">
      <c r="B26" s="20" t="s">
        <v>79</v>
      </c>
      <c r="C26" s="9">
        <f>IFERROR(VLOOKUP(C25,B2:F21,4,FALSE), "Not found")</f>
        <v>23672</v>
      </c>
      <c r="E26" s="20" t="s">
        <v>79</v>
      </c>
      <c r="F26" s="9">
        <f>_xlfn.XMATCH(F25,B2:B21)</f>
        <v>13</v>
      </c>
    </row>
    <row r="28" spans="1:11" ht="15" thickBot="1" x14ac:dyDescent="0.4"/>
    <row r="29" spans="1:11" ht="19" thickBot="1" x14ac:dyDescent="0.4">
      <c r="B29" s="42" t="s">
        <v>80</v>
      </c>
      <c r="C29" s="42"/>
      <c r="D29" s="19"/>
      <c r="E29" s="42" t="s">
        <v>81</v>
      </c>
      <c r="F29" s="42"/>
    </row>
    <row r="30" spans="1:11" ht="15" thickBot="1" x14ac:dyDescent="0.4">
      <c r="B30" s="20" t="s">
        <v>82</v>
      </c>
      <c r="C30" s="9" t="s">
        <v>78</v>
      </c>
      <c r="E30" s="20" t="s">
        <v>76</v>
      </c>
      <c r="F30" s="9" t="s">
        <v>83</v>
      </c>
    </row>
    <row r="31" spans="1:11" ht="15" thickBot="1" x14ac:dyDescent="0.4">
      <c r="B31" s="20" t="s">
        <v>36</v>
      </c>
      <c r="C31" s="9" t="s">
        <v>84</v>
      </c>
      <c r="E31" s="20" t="s">
        <v>79</v>
      </c>
      <c r="F31" s="9" t="str" cm="1">
        <f t="array" aca="1" ref="F31" ca="1">INDIRECT(F30,TRUE)</f>
        <v>Person 5</v>
      </c>
    </row>
    <row r="32" spans="1:11" ht="15" thickBot="1" x14ac:dyDescent="0.4">
      <c r="B32" s="20" t="s">
        <v>85</v>
      </c>
      <c r="C32" s="21">
        <f>SUMIFS(E2:E21,B2:B21,C30,C2:C21,C31)</f>
        <v>31238</v>
      </c>
    </row>
  </sheetData>
  <mergeCells count="4">
    <mergeCell ref="B24:C24"/>
    <mergeCell ref="E24:F24"/>
    <mergeCell ref="B29:C29"/>
    <mergeCell ref="E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2A8B-7A8D-418A-9879-8EADD9BFEB4A}">
  <dimension ref="A1:J31"/>
  <sheetViews>
    <sheetView workbookViewId="0">
      <selection activeCell="H27" sqref="H27"/>
    </sheetView>
  </sheetViews>
  <sheetFormatPr defaultRowHeight="14.5" x14ac:dyDescent="0.35"/>
  <cols>
    <col min="1" max="1" width="15.6328125" customWidth="1"/>
    <col min="2" max="2" width="15.26953125" customWidth="1"/>
    <col min="3" max="3" width="15.54296875" customWidth="1"/>
    <col min="4" max="4" width="16" customWidth="1"/>
    <col min="5" max="5" width="16.7265625" customWidth="1"/>
    <col min="6" max="6" width="15.36328125" customWidth="1"/>
    <col min="7" max="7" width="17.90625" customWidth="1"/>
    <col min="8" max="8" width="20.6328125" customWidth="1"/>
    <col min="9" max="9" width="13.26953125" customWidth="1"/>
    <col min="10" max="10" width="16.6328125" customWidth="1"/>
  </cols>
  <sheetData>
    <row r="1" spans="1:10" ht="43" customHeight="1" thickBot="1" x14ac:dyDescent="0.4">
      <c r="A1" s="22" t="s">
        <v>86</v>
      </c>
      <c r="B1" s="23" t="s">
        <v>1</v>
      </c>
      <c r="C1" s="23" t="s">
        <v>87</v>
      </c>
      <c r="D1" s="23" t="s">
        <v>88</v>
      </c>
      <c r="E1" s="23" t="s">
        <v>89</v>
      </c>
      <c r="F1" s="23" t="s">
        <v>90</v>
      </c>
      <c r="G1" s="23" t="s">
        <v>91</v>
      </c>
      <c r="H1" s="24" t="s">
        <v>92</v>
      </c>
    </row>
    <row r="2" spans="1:10" ht="15" thickBot="1" x14ac:dyDescent="0.4">
      <c r="A2" s="25">
        <v>3001</v>
      </c>
      <c r="B2" s="26" t="s">
        <v>93</v>
      </c>
      <c r="C2" s="26" t="s">
        <v>94</v>
      </c>
      <c r="D2" s="27">
        <v>86766</v>
      </c>
      <c r="E2" s="28">
        <v>42005</v>
      </c>
      <c r="F2" s="29">
        <f>YEAR(E2)</f>
        <v>2015</v>
      </c>
      <c r="G2" s="30">
        <f ca="1">IF(E2&gt;TODAY(),0,TODAY()-E2)</f>
        <v>4291</v>
      </c>
      <c r="H2" s="31">
        <f>D2*$I$3</f>
        <v>8676.6</v>
      </c>
      <c r="I2" s="38" t="s">
        <v>95</v>
      </c>
      <c r="J2" s="39"/>
    </row>
    <row r="3" spans="1:10" ht="15" thickBot="1" x14ac:dyDescent="0.4">
      <c r="A3" s="4">
        <v>3002</v>
      </c>
      <c r="B3" s="5" t="s">
        <v>96</v>
      </c>
      <c r="C3" s="5" t="s">
        <v>94</v>
      </c>
      <c r="D3" s="16">
        <v>31943</v>
      </c>
      <c r="E3" s="17">
        <v>42255</v>
      </c>
      <c r="F3" s="9">
        <f t="shared" ref="F3:F21" si="0">YEAR(E3)</f>
        <v>2015</v>
      </c>
      <c r="G3" s="32">
        <f ca="1">IF(E3&gt;TODAY(),0,TODAY()-E3)</f>
        <v>4041</v>
      </c>
      <c r="H3" s="33">
        <f t="shared" ref="H3:H21" si="1">D3*$I$3</f>
        <v>3194.3</v>
      </c>
      <c r="I3" s="40">
        <v>0.1</v>
      </c>
      <c r="J3" s="41"/>
    </row>
    <row r="4" spans="1:10" ht="15" thickBot="1" x14ac:dyDescent="0.4">
      <c r="A4" s="4">
        <v>3003</v>
      </c>
      <c r="B4" s="5" t="s">
        <v>97</v>
      </c>
      <c r="C4" s="5" t="s">
        <v>98</v>
      </c>
      <c r="D4" s="16">
        <v>63374</v>
      </c>
      <c r="E4" s="17">
        <v>42505</v>
      </c>
      <c r="F4" s="9">
        <f t="shared" si="0"/>
        <v>2016</v>
      </c>
      <c r="G4" s="9">
        <f t="shared" ref="G4:G21" ca="1" si="2">IF(E4&gt;TODAY(),0,TODAY()-E4)</f>
        <v>3791</v>
      </c>
      <c r="H4" s="34">
        <f t="shared" si="1"/>
        <v>6337.4000000000005</v>
      </c>
      <c r="I4" s="35"/>
      <c r="J4" s="36"/>
    </row>
    <row r="5" spans="1:10" ht="15" thickBot="1" x14ac:dyDescent="0.4">
      <c r="A5" s="4">
        <v>3004</v>
      </c>
      <c r="B5" s="5" t="s">
        <v>99</v>
      </c>
      <c r="C5" s="5" t="s">
        <v>94</v>
      </c>
      <c r="D5" s="16">
        <v>109972</v>
      </c>
      <c r="E5" s="17">
        <v>42755</v>
      </c>
      <c r="F5" s="9">
        <f t="shared" si="0"/>
        <v>2017</v>
      </c>
      <c r="G5" s="9">
        <f t="shared" ca="1" si="2"/>
        <v>3541</v>
      </c>
      <c r="H5" s="18">
        <f t="shared" si="1"/>
        <v>10997.2</v>
      </c>
    </row>
    <row r="6" spans="1:10" ht="15" thickBot="1" x14ac:dyDescent="0.4">
      <c r="A6" s="4">
        <v>3005</v>
      </c>
      <c r="B6" s="5" t="s">
        <v>100</v>
      </c>
      <c r="C6" s="5" t="s">
        <v>101</v>
      </c>
      <c r="D6" s="16">
        <v>54149</v>
      </c>
      <c r="E6" s="17">
        <v>43005</v>
      </c>
      <c r="F6" s="9">
        <f t="shared" si="0"/>
        <v>2017</v>
      </c>
      <c r="G6" s="9">
        <f t="shared" ca="1" si="2"/>
        <v>3291</v>
      </c>
      <c r="H6" s="18">
        <f t="shared" si="1"/>
        <v>5414.9000000000005</v>
      </c>
    </row>
    <row r="7" spans="1:10" ht="15" thickBot="1" x14ac:dyDescent="0.4">
      <c r="A7" s="4">
        <v>3006</v>
      </c>
      <c r="B7" s="5" t="s">
        <v>102</v>
      </c>
      <c r="C7" s="5" t="s">
        <v>101</v>
      </c>
      <c r="D7" s="16">
        <v>78689</v>
      </c>
      <c r="E7" s="17">
        <v>43255</v>
      </c>
      <c r="F7" s="9">
        <f t="shared" si="0"/>
        <v>2018</v>
      </c>
      <c r="G7" s="9">
        <f t="shared" ca="1" si="2"/>
        <v>3041</v>
      </c>
      <c r="H7" s="18">
        <f t="shared" si="1"/>
        <v>7868.9000000000005</v>
      </c>
    </row>
    <row r="8" spans="1:10" ht="15" thickBot="1" x14ac:dyDescent="0.4">
      <c r="A8" s="4">
        <v>3007</v>
      </c>
      <c r="B8" s="5" t="s">
        <v>103</v>
      </c>
      <c r="C8" s="5" t="s">
        <v>104</v>
      </c>
      <c r="D8" s="16">
        <v>35960</v>
      </c>
      <c r="E8" s="17">
        <v>43505</v>
      </c>
      <c r="F8" s="9">
        <f t="shared" si="0"/>
        <v>2019</v>
      </c>
      <c r="G8" s="9">
        <f t="shared" ca="1" si="2"/>
        <v>2791</v>
      </c>
      <c r="H8" s="18">
        <f t="shared" si="1"/>
        <v>3596</v>
      </c>
    </row>
    <row r="9" spans="1:10" ht="15" thickBot="1" x14ac:dyDescent="0.4">
      <c r="A9" s="4">
        <v>3008</v>
      </c>
      <c r="B9" s="5" t="s">
        <v>105</v>
      </c>
      <c r="C9" s="5" t="s">
        <v>101</v>
      </c>
      <c r="D9" s="16">
        <v>91659</v>
      </c>
      <c r="E9" s="17">
        <v>43755</v>
      </c>
      <c r="F9" s="9">
        <f t="shared" si="0"/>
        <v>2019</v>
      </c>
      <c r="G9" s="9">
        <f t="shared" ca="1" si="2"/>
        <v>2541</v>
      </c>
      <c r="H9" s="18">
        <f t="shared" si="1"/>
        <v>9165.9</v>
      </c>
    </row>
    <row r="10" spans="1:10" ht="15" thickBot="1" x14ac:dyDescent="0.4">
      <c r="A10" s="4">
        <v>3009</v>
      </c>
      <c r="B10" s="5" t="s">
        <v>106</v>
      </c>
      <c r="C10" s="5" t="s">
        <v>101</v>
      </c>
      <c r="D10" s="16">
        <v>90423</v>
      </c>
      <c r="E10" s="17">
        <v>44005</v>
      </c>
      <c r="F10" s="9">
        <f t="shared" si="0"/>
        <v>2020</v>
      </c>
      <c r="G10" s="9">
        <f t="shared" ca="1" si="2"/>
        <v>2291</v>
      </c>
      <c r="H10" s="18">
        <f t="shared" si="1"/>
        <v>9042.3000000000011</v>
      </c>
    </row>
    <row r="11" spans="1:10" ht="15" thickBot="1" x14ac:dyDescent="0.4">
      <c r="A11" s="4">
        <v>3010</v>
      </c>
      <c r="B11" s="5" t="s">
        <v>107</v>
      </c>
      <c r="C11" s="5" t="s">
        <v>98</v>
      </c>
      <c r="D11" s="16">
        <v>107877</v>
      </c>
      <c r="E11" s="17">
        <v>44255</v>
      </c>
      <c r="F11" s="9">
        <f t="shared" si="0"/>
        <v>2021</v>
      </c>
      <c r="G11" s="9">
        <f t="shared" ca="1" si="2"/>
        <v>2041</v>
      </c>
      <c r="H11" s="18">
        <f t="shared" si="1"/>
        <v>10787.7</v>
      </c>
    </row>
    <row r="12" spans="1:10" ht="15" thickBot="1" x14ac:dyDescent="0.4">
      <c r="A12" s="4">
        <v>3011</v>
      </c>
      <c r="B12" s="5" t="s">
        <v>108</v>
      </c>
      <c r="C12" s="5" t="s">
        <v>94</v>
      </c>
      <c r="D12" s="16">
        <v>107634</v>
      </c>
      <c r="E12" s="17">
        <v>44505</v>
      </c>
      <c r="F12" s="9">
        <f t="shared" si="0"/>
        <v>2021</v>
      </c>
      <c r="G12" s="9">
        <f t="shared" ca="1" si="2"/>
        <v>1791</v>
      </c>
      <c r="H12" s="18">
        <f t="shared" si="1"/>
        <v>10763.400000000001</v>
      </c>
    </row>
    <row r="13" spans="1:10" ht="15" thickBot="1" x14ac:dyDescent="0.4">
      <c r="A13" s="4">
        <v>3012</v>
      </c>
      <c r="B13" s="5" t="s">
        <v>109</v>
      </c>
      <c r="C13" s="5" t="s">
        <v>94</v>
      </c>
      <c r="D13" s="16">
        <v>35226</v>
      </c>
      <c r="E13" s="17">
        <v>44755</v>
      </c>
      <c r="F13" s="9">
        <f t="shared" si="0"/>
        <v>2022</v>
      </c>
      <c r="G13" s="9">
        <f t="shared" ca="1" si="2"/>
        <v>1541</v>
      </c>
      <c r="H13" s="18">
        <f t="shared" si="1"/>
        <v>3522.6000000000004</v>
      </c>
    </row>
    <row r="14" spans="1:10" ht="15" thickBot="1" x14ac:dyDescent="0.4">
      <c r="A14" s="4">
        <v>3013</v>
      </c>
      <c r="B14" s="5" t="s">
        <v>110</v>
      </c>
      <c r="C14" s="5" t="s">
        <v>98</v>
      </c>
      <c r="D14" s="16">
        <v>40872</v>
      </c>
      <c r="E14" s="17">
        <v>45005</v>
      </c>
      <c r="F14" s="9">
        <f t="shared" si="0"/>
        <v>2023</v>
      </c>
      <c r="G14" s="9">
        <f t="shared" ca="1" si="2"/>
        <v>1291</v>
      </c>
      <c r="H14" s="18">
        <f t="shared" si="1"/>
        <v>4087.2000000000003</v>
      </c>
    </row>
    <row r="15" spans="1:10" ht="15" thickBot="1" x14ac:dyDescent="0.4">
      <c r="A15" s="4">
        <v>3014</v>
      </c>
      <c r="B15" s="5" t="s">
        <v>111</v>
      </c>
      <c r="C15" s="5" t="s">
        <v>98</v>
      </c>
      <c r="D15" s="16">
        <v>55378</v>
      </c>
      <c r="E15" s="17">
        <v>45255</v>
      </c>
      <c r="F15" s="9">
        <f t="shared" si="0"/>
        <v>2023</v>
      </c>
      <c r="G15" s="9">
        <f t="shared" ca="1" si="2"/>
        <v>1041</v>
      </c>
      <c r="H15" s="18">
        <f t="shared" si="1"/>
        <v>5537.8</v>
      </c>
    </row>
    <row r="16" spans="1:10" ht="15" thickBot="1" x14ac:dyDescent="0.4">
      <c r="A16" s="4">
        <v>3015</v>
      </c>
      <c r="B16" s="5" t="s">
        <v>112</v>
      </c>
      <c r="C16" s="5" t="s">
        <v>98</v>
      </c>
      <c r="D16" s="16">
        <v>63297</v>
      </c>
      <c r="E16" s="17">
        <v>45505</v>
      </c>
      <c r="F16" s="9">
        <f t="shared" si="0"/>
        <v>2024</v>
      </c>
      <c r="G16" s="9">
        <f t="shared" ca="1" si="2"/>
        <v>791</v>
      </c>
      <c r="H16" s="18">
        <f t="shared" si="1"/>
        <v>6329.7000000000007</v>
      </c>
    </row>
    <row r="17" spans="1:8" ht="15" thickBot="1" x14ac:dyDescent="0.4">
      <c r="A17" s="4">
        <v>3016</v>
      </c>
      <c r="B17" s="5" t="s">
        <v>113</v>
      </c>
      <c r="C17" s="5" t="s">
        <v>94</v>
      </c>
      <c r="D17" s="16">
        <v>114173</v>
      </c>
      <c r="E17" s="17">
        <v>45755</v>
      </c>
      <c r="F17" s="9">
        <f t="shared" si="0"/>
        <v>2025</v>
      </c>
      <c r="G17" s="9">
        <f t="shared" ca="1" si="2"/>
        <v>541</v>
      </c>
      <c r="H17" s="18">
        <f t="shared" si="1"/>
        <v>11417.300000000001</v>
      </c>
    </row>
    <row r="18" spans="1:8" ht="15" thickBot="1" x14ac:dyDescent="0.4">
      <c r="A18" s="4">
        <v>3017</v>
      </c>
      <c r="B18" s="5" t="s">
        <v>114</v>
      </c>
      <c r="C18" s="5" t="s">
        <v>98</v>
      </c>
      <c r="D18" s="16">
        <v>86915</v>
      </c>
      <c r="E18" s="17">
        <v>46005</v>
      </c>
      <c r="F18" s="9">
        <f t="shared" si="0"/>
        <v>2025</v>
      </c>
      <c r="G18" s="9">
        <f t="shared" ca="1" si="2"/>
        <v>291</v>
      </c>
      <c r="H18" s="18">
        <f t="shared" si="1"/>
        <v>8691.5</v>
      </c>
    </row>
    <row r="19" spans="1:8" ht="15" thickBot="1" x14ac:dyDescent="0.4">
      <c r="A19" s="4">
        <v>3018</v>
      </c>
      <c r="B19" s="5" t="s">
        <v>115</v>
      </c>
      <c r="C19" s="5" t="s">
        <v>101</v>
      </c>
      <c r="D19" s="16">
        <v>116284</v>
      </c>
      <c r="E19" s="17">
        <v>46255</v>
      </c>
      <c r="F19" s="9">
        <f t="shared" si="0"/>
        <v>2026</v>
      </c>
      <c r="G19" s="9">
        <f t="shared" ca="1" si="2"/>
        <v>41</v>
      </c>
      <c r="H19" s="18">
        <f t="shared" si="1"/>
        <v>11628.400000000001</v>
      </c>
    </row>
    <row r="20" spans="1:8" ht="15" thickBot="1" x14ac:dyDescent="0.4">
      <c r="A20" s="4">
        <v>3019</v>
      </c>
      <c r="B20" s="5" t="s">
        <v>116</v>
      </c>
      <c r="C20" s="5" t="s">
        <v>104</v>
      </c>
      <c r="D20" s="16">
        <v>116283</v>
      </c>
      <c r="E20" s="17">
        <v>46505</v>
      </c>
      <c r="F20" s="9">
        <f t="shared" si="0"/>
        <v>2027</v>
      </c>
      <c r="G20" s="9">
        <f t="shared" ca="1" si="2"/>
        <v>0</v>
      </c>
      <c r="H20" s="18">
        <f t="shared" si="1"/>
        <v>11628.300000000001</v>
      </c>
    </row>
    <row r="21" spans="1:8" ht="15" thickBot="1" x14ac:dyDescent="0.4">
      <c r="A21" s="4">
        <v>3020</v>
      </c>
      <c r="B21" s="5" t="s">
        <v>117</v>
      </c>
      <c r="C21" s="5" t="s">
        <v>104</v>
      </c>
      <c r="D21" s="16">
        <v>99924</v>
      </c>
      <c r="E21" s="17">
        <v>46755</v>
      </c>
      <c r="F21" s="9">
        <f t="shared" si="0"/>
        <v>2028</v>
      </c>
      <c r="G21" s="9">
        <f t="shared" ca="1" si="2"/>
        <v>0</v>
      </c>
      <c r="H21" s="18">
        <f t="shared" si="1"/>
        <v>9992.4000000000015</v>
      </c>
    </row>
    <row r="23" spans="1:8" ht="15" thickBot="1" x14ac:dyDescent="0.4"/>
    <row r="24" spans="1:8" ht="19" thickBot="1" x14ac:dyDescent="0.4">
      <c r="B24" s="42" t="s">
        <v>74</v>
      </c>
      <c r="C24" s="42"/>
      <c r="E24" s="42" t="s">
        <v>118</v>
      </c>
      <c r="F24" s="42"/>
    </row>
    <row r="25" spans="1:8" ht="15" thickBot="1" x14ac:dyDescent="0.4">
      <c r="B25" s="20" t="s">
        <v>76</v>
      </c>
      <c r="C25" s="9">
        <v>3010</v>
      </c>
      <c r="E25" s="20" t="s">
        <v>76</v>
      </c>
      <c r="F25" s="9">
        <v>3002</v>
      </c>
    </row>
    <row r="26" spans="1:8" ht="15" thickBot="1" x14ac:dyDescent="0.4">
      <c r="B26" s="20" t="s">
        <v>79</v>
      </c>
      <c r="C26" s="9" t="str">
        <f>VLOOKUP(C25,A2:E21,2)</f>
        <v>Employee 10</v>
      </c>
      <c r="E26" s="20" t="s">
        <v>79</v>
      </c>
      <c r="F26" s="18">
        <f>_xlfn.XLOOKUP(F25,A2:A21,D2:D21,"Not Found")</f>
        <v>31943</v>
      </c>
    </row>
    <row r="28" spans="1:8" ht="15" thickBot="1" x14ac:dyDescent="0.4"/>
    <row r="29" spans="1:8" ht="19" thickBot="1" x14ac:dyDescent="0.5">
      <c r="B29" s="42" t="s">
        <v>119</v>
      </c>
      <c r="C29" s="42"/>
      <c r="E29" s="43" t="s">
        <v>120</v>
      </c>
      <c r="F29" s="43"/>
      <c r="G29" s="43"/>
    </row>
    <row r="30" spans="1:8" ht="15" thickBot="1" x14ac:dyDescent="0.4">
      <c r="B30" s="20" t="s">
        <v>76</v>
      </c>
      <c r="C30" s="9">
        <v>3011</v>
      </c>
      <c r="E30" s="20" t="s">
        <v>121</v>
      </c>
      <c r="F30" s="20" t="s">
        <v>122</v>
      </c>
      <c r="G30" s="20" t="s">
        <v>123</v>
      </c>
    </row>
    <row r="31" spans="1:8" ht="15" thickBot="1" x14ac:dyDescent="0.4">
      <c r="B31" s="20" t="s">
        <v>79</v>
      </c>
      <c r="C31" s="9" t="str" cm="1">
        <f t="array" ref="C31">INDEX(B2:B21,MATCH(C30,A2:A21),D30)</f>
        <v>Employee 11</v>
      </c>
      <c r="E31" s="37">
        <v>45062</v>
      </c>
      <c r="F31" s="37">
        <v>46295</v>
      </c>
      <c r="G31" s="9">
        <f>F31-E31</f>
        <v>1233</v>
      </c>
    </row>
  </sheetData>
  <mergeCells count="6">
    <mergeCell ref="I2:J2"/>
    <mergeCell ref="I3:J3"/>
    <mergeCell ref="B24:C24"/>
    <mergeCell ref="E24:F24"/>
    <mergeCell ref="B29:C29"/>
    <mergeCell ref="E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Donga</dc:creator>
  <cp:lastModifiedBy>Ayush Donga</cp:lastModifiedBy>
  <dcterms:created xsi:type="dcterms:W3CDTF">2026-09-30T05:17:31Z</dcterms:created>
  <dcterms:modified xsi:type="dcterms:W3CDTF">2026-10-01T05:04:56Z</dcterms:modified>
</cp:coreProperties>
</file>