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fff0974c0fa9ca95/Documents/"/>
    </mc:Choice>
  </mc:AlternateContent>
  <xr:revisionPtr revIDLastSave="1" documentId="13_ncr:1_{6933F611-3C8B-4E31-AD94-66B946A1569D}" xr6:coauthVersionLast="47" xr6:coauthVersionMax="47" xr10:uidLastSave="{D8E8B505-EE64-4828-A52F-EB1353B5AD16}"/>
  <bookViews>
    <workbookView xWindow="-108" yWindow="-108" windowWidth="23256" windowHeight="12456" activeTab="5" xr2:uid="{1C9916DA-6E0B-49DC-A52B-299491517A0B}"/>
  </bookViews>
  <sheets>
    <sheet name="Data" sheetId="1" r:id="rId1"/>
    <sheet name="Analysis" sheetId="2" r:id="rId2"/>
    <sheet name="Scenario Summary" sheetId="11" r:id="rId3"/>
    <sheet name="Linear Regression" sheetId="6" r:id="rId4"/>
    <sheet name="Pivot Table" sheetId="15" r:id="rId5"/>
    <sheet name="Dashboard" sheetId="17" r:id="rId6"/>
  </sheets>
  <externalReferences>
    <externalReference r:id="rId7"/>
  </externalReferences>
  <definedNames>
    <definedName name="_xlcn.WorksheetConnection_Finalproject.xlsxdata" hidden="1">data[]</definedName>
    <definedName name="Slicer_Sales_Month">#N/A</definedName>
  </definedNames>
  <calcPr calcId="191029"/>
  <pivotCaches>
    <pivotCache cacheId="0" r:id="rId8"/>
    <pivotCache cacheId="1" r:id="rId9"/>
  </pivotCaches>
  <extLst>
    <ext xmlns:x14="http://schemas.microsoft.com/office/spreadsheetml/2009/9/main" uri="{876F7934-8845-4945-9796-88D515C7AA90}">
      <x14:pivotCaches>
        <pivotCache cacheId="2"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l-project.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7" l="1"/>
  <c r="N8" i="17"/>
  <c r="H8" i="17"/>
  <c r="E8" i="17"/>
  <c r="B8" i="17"/>
  <c r="K8" i="17" s="1"/>
  <c r="Q18" i="2" a="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Q2" i="1" a="1"/>
  <c r="Q3" i="1" a="1"/>
  <c r="Q4" i="1" a="1"/>
  <c r="Q5" i="1" a="1"/>
  <c r="Q6" i="1" a="1"/>
  <c r="Q7" i="1" a="1"/>
  <c r="Q8" i="1" a="1"/>
  <c r="Q9" i="1" a="1"/>
  <c r="Q10" i="1" a="1"/>
  <c r="Q11" i="1" a="1"/>
  <c r="Q12" i="1" a="1"/>
  <c r="Q13" i="1" a="1"/>
  <c r="Q14" i="1" a="1"/>
  <c r="Q15" i="1" a="1"/>
  <c r="Q16" i="1" a="1"/>
  <c r="Q17" i="1" a="1"/>
  <c r="Q18" i="1" a="1"/>
  <c r="Q19" i="1" a="1"/>
  <c r="Q20" i="1" a="1"/>
  <c r="Q21" i="1" a="1"/>
  <c r="Q22" i="1" a="1"/>
  <c r="Q23" i="1" a="1"/>
  <c r="Q24" i="1" a="1"/>
  <c r="Q25" i="1" a="1"/>
  <c r="Q26" i="1" a="1"/>
  <c r="Q27" i="1" a="1"/>
  <c r="Q28" i="1" a="1"/>
  <c r="Q29" i="1" a="1"/>
  <c r="Q30" i="1" a="1"/>
  <c r="Q31" i="1" a="1"/>
  <c r="Q32" i="1" a="1"/>
  <c r="Q33" i="1" a="1"/>
  <c r="Q34" i="1" a="1"/>
  <c r="Q35" i="1" a="1"/>
  <c r="Q36" i="1" a="1"/>
  <c r="Q37" i="1" a="1"/>
  <c r="Q38" i="1" a="1"/>
  <c r="Q39" i="1" a="1"/>
  <c r="Q40" i="1" a="1"/>
  <c r="Q41" i="1" a="1"/>
  <c r="Q42" i="1" a="1"/>
  <c r="Q43" i="1" a="1"/>
  <c r="Q44" i="1" a="1"/>
  <c r="Q45" i="1" a="1"/>
  <c r="Q46" i="1" a="1"/>
  <c r="Q47" i="1" a="1"/>
  <c r="Q48" i="1" a="1"/>
  <c r="Q49" i="1" a="1"/>
  <c r="Q50" i="1" a="1"/>
  <c r="Q51" i="1" a="1"/>
  <c r="Q52" i="1" a="1"/>
  <c r="Q53" i="1" a="1"/>
  <c r="Q54" i="1" a="1"/>
  <c r="Q55" i="1" a="1"/>
  <c r="Q56" i="1" a="1"/>
  <c r="Q57" i="1" a="1"/>
  <c r="Q58" i="1" a="1"/>
  <c r="Q59" i="1" a="1"/>
  <c r="Q60" i="1" a="1"/>
  <c r="Q61" i="1" a="1"/>
  <c r="Q62" i="1" a="1"/>
  <c r="Q63" i="1" a="1"/>
  <c r="Q64" i="1" a="1"/>
  <c r="Q65" i="1" a="1"/>
  <c r="Q66" i="1" a="1"/>
  <c r="Q67" i="1" a="1"/>
  <c r="Q68" i="1" a="1"/>
  <c r="Q69" i="1" a="1"/>
  <c r="Q70" i="1" a="1"/>
  <c r="Q71" i="1" a="1"/>
  <c r="Q72" i="1" a="1"/>
  <c r="Q73" i="1" a="1"/>
  <c r="Q74" i="1" a="1"/>
  <c r="Q75" i="1" a="1"/>
  <c r="Q76" i="1" a="1"/>
  <c r="Q77" i="1" a="1"/>
  <c r="Q78" i="1" a="1"/>
  <c r="Q79" i="1" a="1"/>
  <c r="Q80" i="1" a="1"/>
  <c r="Q81" i="1" a="1"/>
  <c r="Q82" i="1" a="1"/>
  <c r="Q83" i="1" a="1"/>
  <c r="Q84" i="1" a="1"/>
  <c r="Q85" i="1" a="1"/>
  <c r="Q86" i="1" a="1"/>
  <c r="Q87" i="1" a="1"/>
  <c r="Q88" i="1" a="1"/>
  <c r="Q89" i="1" a="1"/>
  <c r="Q90" i="1" a="1"/>
  <c r="Q91" i="1" a="1"/>
  <c r="Q92" i="1" a="1"/>
  <c r="Q93" i="1" a="1"/>
  <c r="Q94" i="1" a="1"/>
  <c r="Q95" i="1" a="1"/>
  <c r="Q96" i="1" a="1"/>
  <c r="Q97" i="1" a="1"/>
  <c r="Q98" i="1" a="1"/>
  <c r="Q99" i="1" a="1"/>
  <c r="Q100" i="1" a="1"/>
  <c r="Q101" i="1" a="1"/>
  <c r="Q102" i="1" a="1"/>
  <c r="Q103" i="1" a="1"/>
  <c r="Q104" i="1" a="1"/>
  <c r="Q105" i="1" a="1"/>
  <c r="Q106" i="1" a="1"/>
  <c r="Q107" i="1" a="1"/>
  <c r="Q108" i="1" a="1"/>
  <c r="Q109" i="1" a="1"/>
  <c r="Q110" i="1" a="1"/>
  <c r="Q111" i="1" a="1"/>
  <c r="Q112" i="1" a="1"/>
  <c r="Q113" i="1" a="1"/>
  <c r="Q114" i="1" a="1"/>
  <c r="Q115" i="1" a="1"/>
  <c r="Q116" i="1" a="1"/>
  <c r="Q117" i="1" a="1"/>
  <c r="Q118" i="1" a="1"/>
  <c r="Q119" i="1" a="1"/>
  <c r="Q120" i="1" a="1"/>
  <c r="Q121" i="1" a="1"/>
  <c r="Q122" i="1" a="1"/>
  <c r="Q123" i="1" a="1"/>
  <c r="Q124" i="1" a="1"/>
  <c r="Q125" i="1" a="1"/>
  <c r="Q126" i="1" a="1"/>
  <c r="Q127" i="1" a="1"/>
  <c r="Q128" i="1" a="1"/>
  <c r="Q129" i="1" a="1"/>
  <c r="Q130" i="1" a="1"/>
  <c r="Q131" i="1" a="1"/>
  <c r="Q132" i="1" a="1"/>
  <c r="Q133" i="1" a="1"/>
  <c r="Q134" i="1" a="1"/>
  <c r="Q135" i="1" a="1"/>
  <c r="Q136" i="1" a="1"/>
  <c r="Q137" i="1" a="1"/>
  <c r="Q138" i="1" a="1"/>
  <c r="Q139" i="1" a="1"/>
  <c r="Q140" i="1" a="1"/>
  <c r="Q141" i="1" a="1"/>
  <c r="Q142" i="1" a="1"/>
  <c r="Q143" i="1" a="1"/>
  <c r="Q144" i="1" a="1"/>
  <c r="Q145" i="1" a="1"/>
  <c r="Q146" i="1" a="1"/>
  <c r="Q147" i="1" a="1"/>
  <c r="Q148" i="1" a="1"/>
  <c r="Q149" i="1" a="1"/>
  <c r="Q150" i="1" a="1"/>
  <c r="Q151" i="1" a="1"/>
  <c r="Q152" i="1" a="1"/>
  <c r="Q153" i="1" a="1"/>
  <c r="Q154" i="1" a="1"/>
  <c r="Q155" i="1" a="1"/>
  <c r="Q156" i="1" a="1"/>
  <c r="Q157" i="1" a="1"/>
  <c r="Q158" i="1" a="1"/>
  <c r="Q159" i="1" a="1"/>
  <c r="Q160" i="1" a="1"/>
  <c r="Q161" i="1" a="1"/>
  <c r="Q162" i="1" a="1"/>
  <c r="Q163" i="1" a="1"/>
  <c r="Q164" i="1" a="1"/>
  <c r="Q165" i="1" a="1"/>
  <c r="Q166" i="1" a="1"/>
  <c r="Q167" i="1" a="1"/>
  <c r="Q168" i="1" a="1"/>
  <c r="Q169" i="1" a="1"/>
  <c r="Q170" i="1" a="1"/>
  <c r="Q171" i="1" a="1"/>
  <c r="Q172" i="1" a="1"/>
  <c r="Q173" i="1" a="1"/>
  <c r="Q174" i="1" a="1"/>
  <c r="Q175" i="1" a="1"/>
  <c r="Q176" i="1" a="1"/>
  <c r="Q177" i="1" a="1"/>
  <c r="Q178" i="1" a="1"/>
  <c r="Q179" i="1" a="1"/>
  <c r="Q180" i="1" a="1"/>
  <c r="Q181" i="1" a="1"/>
  <c r="Q182" i="1" a="1"/>
  <c r="Q183" i="1" a="1"/>
  <c r="Q184" i="1" a="1"/>
  <c r="Q185" i="1" a="1"/>
  <c r="Q186" i="1" a="1"/>
  <c r="Q187" i="1" a="1"/>
  <c r="Q188" i="1" a="1"/>
  <c r="Q189" i="1" a="1"/>
  <c r="Q190" i="1" a="1"/>
  <c r="Q191" i="1" a="1"/>
  <c r="Q192" i="1" a="1"/>
  <c r="Q193" i="1" a="1"/>
  <c r="Q194" i="1" a="1"/>
  <c r="Q195" i="1" a="1"/>
  <c r="Q196" i="1" a="1"/>
  <c r="Q197" i="1" a="1"/>
  <c r="Q198" i="1" a="1"/>
  <c r="Q199" i="1" a="1"/>
  <c r="Q200" i="1" a="1"/>
  <c r="Q201" i="1" a="1"/>
  <c r="Q202" i="1" a="1"/>
  <c r="Q203" i="1" a="1"/>
  <c r="Q204" i="1" a="1"/>
  <c r="Q205" i="1" a="1"/>
  <c r="Q206" i="1" a="1"/>
  <c r="Q207" i="1" a="1"/>
  <c r="Q208" i="1" a="1"/>
  <c r="Q209" i="1" a="1"/>
  <c r="Q210" i="1" a="1"/>
  <c r="Q211" i="1" a="1"/>
  <c r="Q212" i="1" a="1"/>
  <c r="Q213" i="1" a="1"/>
  <c r="Q214" i="1" a="1"/>
  <c r="Q215" i="1" a="1"/>
  <c r="Q216" i="1" a="1"/>
  <c r="Q217" i="1" a="1"/>
  <c r="Q218" i="1" a="1"/>
  <c r="Q219" i="1" a="1"/>
  <c r="Q220" i="1" a="1"/>
  <c r="Q221" i="1" a="1"/>
  <c r="Q222" i="1" a="1"/>
  <c r="Q223" i="1" a="1"/>
  <c r="Q224" i="1" a="1"/>
  <c r="Q225" i="1" a="1"/>
  <c r="Q226" i="1" a="1"/>
  <c r="Q227" i="1" a="1"/>
  <c r="Q228" i="1" a="1"/>
  <c r="Q229" i="1" a="1"/>
  <c r="Q230" i="1" a="1"/>
  <c r="Q231" i="1" a="1"/>
  <c r="Q232" i="1" a="1"/>
  <c r="Q233" i="1" a="1"/>
  <c r="Q234" i="1" a="1"/>
  <c r="Q235" i="1" a="1"/>
  <c r="Q236" i="1" a="1"/>
  <c r="Q237" i="1" a="1"/>
  <c r="Q238" i="1" a="1"/>
  <c r="Q239" i="1" a="1"/>
  <c r="Q240" i="1" a="1"/>
  <c r="Q241" i="1" a="1"/>
  <c r="Q242" i="1" a="1"/>
  <c r="Q243" i="1" a="1"/>
  <c r="Q244" i="1" a="1"/>
  <c r="Q245" i="1" a="1"/>
  <c r="Q246" i="1" a="1"/>
  <c r="Q247" i="1" a="1"/>
  <c r="Q248" i="1" a="1"/>
  <c r="Q249" i="1" a="1"/>
  <c r="Q250" i="1" a="1"/>
  <c r="Q251" i="1" a="1"/>
  <c r="A11" i="2" a="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 i="1"/>
  <c r="D2" i="2" a="1"/>
  <c r="N2" i="2" a="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B4" i="2"/>
  <c r="B3"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 i="1"/>
  <c r="N2" i="1"/>
  <c r="B24" i="2" l="1"/>
  <c r="B26" i="2" s="1"/>
  <c r="B19" i="2"/>
  <c r="B20" i="2" s="1"/>
  <c r="B2" i="2"/>
  <c r="G3" i="2" a="1"/>
  <c r="G4" i="2" a="1"/>
  <c r="G5" i="2" a="1"/>
  <c r="G6" i="2" a="1"/>
  <c r="G7" i="2" a="1"/>
  <c r="G8" i="2" a="1"/>
  <c r="G9" i="2" a="1"/>
  <c r="G10" i="2" a="1"/>
  <c r="G11" i="2" a="1"/>
  <c r="G12" i="2" a="1"/>
  <c r="G13" i="2" a="1"/>
  <c r="G14" i="2" a="1"/>
  <c r="G15" i="2" a="1"/>
  <c r="G16" i="2" a="1"/>
  <c r="G17" i="2" a="1"/>
  <c r="G18" i="2" a="1"/>
  <c r="G19" i="2" a="1"/>
  <c r="G20" i="2" a="1"/>
  <c r="G21" i="2" a="1"/>
  <c r="G22" i="2" a="1"/>
  <c r="G23" i="2" a="1"/>
  <c r="G24" i="2" a="1"/>
  <c r="G25" i="2" a="1"/>
  <c r="G26" i="2" a="1"/>
  <c r="G27" i="2" a="1"/>
  <c r="G28" i="2" a="1"/>
  <c r="G29" i="2" a="1"/>
  <c r="G30" i="2" a="1"/>
  <c r="G31" i="2" a="1"/>
  <c r="G32" i="2" a="1"/>
  <c r="G33" i="2" a="1"/>
  <c r="G34" i="2" a="1"/>
  <c r="G35" i="2" a="1"/>
  <c r="G36" i="2" a="1"/>
  <c r="G37" i="2" a="1"/>
  <c r="G38" i="2" a="1"/>
  <c r="G39" i="2" a="1"/>
  <c r="G40" i="2" a="1"/>
  <c r="G41" i="2" a="1"/>
  <c r="G42" i="2" a="1"/>
  <c r="G43" i="2" a="1"/>
  <c r="G44" i="2" a="1"/>
  <c r="G45" i="2" a="1"/>
  <c r="G46" i="2" a="1"/>
  <c r="G47" i="2" a="1"/>
  <c r="G48" i="2" a="1"/>
  <c r="G49" i="2" a="1"/>
  <c r="G50" i="2" a="1"/>
  <c r="G51" i="2" a="1"/>
  <c r="G2" i="2" a="1"/>
  <c r="B12" i="2"/>
  <c r="B13" i="2"/>
  <c r="B14" i="2"/>
  <c r="B11" i="2"/>
  <c r="B7" i="2"/>
  <c r="B6" i="2"/>
  <c r="B5"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2" i="2"/>
  <c r="O3" i="2"/>
  <c r="O4" i="2"/>
  <c r="O5" i="2"/>
  <c r="O6" i="2"/>
  <c r="O7" i="2"/>
  <c r="O8" i="2"/>
  <c r="O9" i="2"/>
  <c r="O10" i="2"/>
  <c r="O11" i="2"/>
  <c r="O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2" i="2"/>
  <c r="B15" i="2" l="1"/>
  <c r="I17" i="2" a="1"/>
  <c r="K4" i="2"/>
  <c r="J4" i="2" s="1"/>
  <c r="K5" i="2"/>
  <c r="J5" i="2" s="1"/>
  <c r="K8" i="2"/>
  <c r="J8" i="2" s="1"/>
  <c r="K11" i="2"/>
  <c r="J11" i="2" s="1"/>
  <c r="K6" i="2"/>
  <c r="J6" i="2" s="1"/>
  <c r="K10" i="2"/>
  <c r="J10" i="2" s="1"/>
  <c r="K12" i="2"/>
  <c r="J12" i="2" s="1"/>
  <c r="K7" i="2"/>
  <c r="J7" i="2" s="1"/>
  <c r="K9" i="2"/>
  <c r="J9" i="2" s="1"/>
  <c r="S3" i="2"/>
  <c r="R3" i="2" s="1"/>
  <c r="K3" i="2"/>
  <c r="J3" i="2" s="1"/>
  <c r="S5" i="2"/>
  <c r="R5" i="2" s="1"/>
  <c r="S4" i="2"/>
  <c r="R4" i="2" s="1"/>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Q18" i="2"/>
  <c r="G18" i="2"/>
  <c r="I17" i="2"/>
  <c r="G17" i="2"/>
  <c r="G16" i="2"/>
  <c r="G15" i="2"/>
  <c r="G14" i="2"/>
  <c r="G13" i="2"/>
  <c r="G12" i="2"/>
  <c r="G11" i="2"/>
  <c r="A11" i="2"/>
  <c r="G10" i="2"/>
  <c r="G9" i="2"/>
  <c r="G8" i="2"/>
  <c r="G7" i="2"/>
  <c r="G6" i="2"/>
  <c r="G5" i="2"/>
  <c r="G4" i="2"/>
  <c r="G3" i="2"/>
  <c r="N2" i="2"/>
  <c r="G2" i="2"/>
  <c r="D2" i="2"/>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5FB657-9CB5-4122-BDBB-F4C351AFAF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4D0912-15D1-4ECF-AD03-F99F1382F957}" name="WorksheetConnection_Final-project.xlsx!data" type="102" refreshedVersion="8" minRefreshableVersion="5">
    <extLst>
      <ext xmlns:x15="http://schemas.microsoft.com/office/spreadsheetml/2010/11/main" uri="{DE250136-89BD-433C-8126-D09CA5730AF9}">
        <x15:connection id="data" autoDelete="1">
          <x15:rangePr sourceName="_xlcn.WorksheetConnection_Finalproject.xlsxdata"/>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<sst xmlns="http://schemas.openxmlformats.org/spreadsheetml/2006/main" count="2448" uniqueCount="505">
  <si>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</si>
  <si>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</si>
  <si>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</si>
  <si>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</si>
  <si>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</si>
  <si>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</si>
  <si>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</si>
  <si>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</si>
  <si>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</si>
  <si>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</si>
  <si>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</si>
  <si>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</si>
  <si>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</si>
  <si>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</si>
  <si>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</si>
  <si>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</si>
  <si>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</si>
  <si>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</si>
  <si>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</si>
  <si>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</si>
  <si>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</si>
  <si>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</si>
  <si>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</si>
  <si>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</si>
  <si>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</si>
  <si>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</si>
  <si>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</si>
  <si>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</si>
  <si>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</si>
  <si>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</si>
  <si>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</si>
  <si>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</si>
  <si>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</si>
  <si>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</si>
  <si>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</si>
  <si>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</si>
  <si>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</si>
  <si>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</si>
  <si>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</si>
  <si>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</si>
  <si>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</si>
  <si>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</si>
  <si>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</si>
  <si>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</si>
  <si>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</si>
  <si>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</si>
  <si>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</si>
  <si>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</si>
  <si>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</si>
  <si>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</si>
  <si>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</si>
  <si>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</si>
  <si>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</si>
  <si>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</si>
  <si>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</si>
  <si>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</si>
  <si>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</si>
  <si>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</si>
  <si>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</si>
  <si>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</si>
  <si>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</si>
  <si>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</si>
  <si>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</si>
  <si>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</si>
  <si>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</si>
  <si>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</si>
  <si>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</si>
  <si>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</si>
  <si>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</si>
  <si>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</si>
  <si>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</si>
  <si>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</si>
  <si>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</si>
  <si>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</si>
  <si>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</si>
  <si>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</si>
  <si>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</si>
  <si>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</si>
  <si>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</si>
  <si>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</si>
  <si>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</si>
  <si>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</si>
  <si>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</si>
  <si>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</si>
  <si>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</si>
  <si>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</si>
  <si>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</si>
  <si>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</si>
  <si>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</si>
  <si>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</si>
  <si>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</si>
  <si>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</si>
  <si>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</si>
  <si>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</si>
  <si>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</si>
  <si>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</si>
  <si>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</si>
  <si>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</si>
  <si>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</si>
  <si>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</si>
  <si>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</si>
  <si>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</si>
  <si>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</si>
  <si>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</si>
  <si>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</si>
  <si>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</si>
  <si>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</si>
  <si>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</si>
  <si>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</si>
  <si>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</si>
  <si>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</si>
  <si>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</si>
  <si>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</si>
  <si>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</si>
  <si>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</si>
  <si>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</si>
  <si>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</si>
  <si>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</si>
  <si>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</si>
  <si>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</si>
  <si>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</si>
  <si>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</si>
  <si>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</si>
  <si>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</si>
  <si>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</si>
  <si>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</si>
  <si>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</si>
  <si>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</si>
  <si>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</si>
  <si>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</si>
  <si>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</si>
  <si>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</si>
  <si>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</si>
  <si>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</si>
  <si>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</si>
  <si>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</si>
  <si>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</si>
  <si>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</si>
  <si>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</si>
  <si>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</si>
  <si>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</si>
  <si>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</si>
  <si>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</si>
  <si>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</si>
  <si>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</si>
  <si>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</si>
  <si>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</si>
  <si>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</si>
  <si>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</si>
  <si>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</si>
  <si>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</si>
  <si>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</si>
  <si>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</si>
  <si>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</si>
  <si>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</si>
  <si>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</si>
  <si>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</si>
  <si>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</si>
  <si>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</si>
  <si>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</si>
  <si>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</si>
  <si>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</si>
  <si>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</si>
  <si>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</si>
  <si>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</si>
  <si>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</si>
  <si>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</si>
  <si>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</si>
  <si>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</si>
  <si>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</si>
  <si>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</si>
  <si>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</si>
  <si>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</si>
  <si>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</si>
  <si>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</si>
  <si>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</si>
  <si>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</si>
  <si>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</si>
  <si>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</si>
  <si>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</si>
  <si>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</si>
  <si>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</si>
  <si>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</si>
  <si>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</si>
  <si>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</si>
  <si>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</si>
  <si>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</si>
  <si>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</si>
  <si>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</si>
  <si>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</si>
  <si>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</si>
  <si>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</si>
  <si>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</si>
  <si>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</si>
  <si>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</si>
  <si>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</si>
  <si>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</si>
  <si>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</si>
  <si>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</si>
  <si>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</si>
  <si>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</si>
  <si>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</si>
  <si>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</si>
  <si>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</si>
  <si>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</si>
  <si>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</si>
  <si>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</si>
  <si>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</si>
  <si>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</si>
  <si>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</si>
  <si>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</si>
  <si>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</si>
  <si>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</si>
  <si>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</si>
  <si>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</si>
  <si>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</si>
  <si>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</si>
  <si>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</si>
  <si>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</si>
  <si>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</si>
  <si>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</si>
  <si>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</si>
  <si>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</si>
  <si>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</si>
  <si>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</si>
  <si>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</si>
  <si>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</si>
  <si>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</si>
  <si>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</si>
  <si>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</si>
  <si>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</si>
  <si>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</si>
  <si>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</si>
  <si>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</si>
  <si>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</si>
  <si>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</si>
  <si>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</si>
  <si>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</si>
  <si>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</si>
  <si>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</si>
  <si>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</si>
  <si>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</si>
  <si>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</si>
  <si>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</si>
  <si>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</si>
  <si>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</si>
  <si>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</si>
  <si>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</si>
  <si>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</si>
  <si>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</si>
  <si>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</si>
  <si>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</si>
  <si>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</si>
  <si>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</si>
  <si>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</si>
  <si>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</si>
  <si>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</si>
  <si>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</si>
  <si>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</si>
  <si>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</si>
  <si>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</si>
  <si>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</si>
  <si>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</si>
  <si>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</si>
  <si>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</si>
  <si>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</si>
  <si>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</si>
  <si>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</si>
  <si>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</si>
  <si>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</si>
  <si>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</si>
  <si>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</si>
  <si>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</si>
  <si>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</si>
  <si>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</si>
  <si>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</si>
  <si>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</si>
  <si>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</si>
  <si>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</si>
  <si>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</si>
  <si>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</si>
  <si>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</si>
  <si>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</si>
  <si>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</si>
  <si>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</si>
  <si>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</si>
  <si>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</si>
  <si>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</si>
  <si>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</si>
  <si>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</si>
  <si>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</si>
  <si>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</si>
  <si>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</si>
  <si>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</si>
  <si>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</si>
  <si>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</si>
  <si>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</si>
  <si>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</si>
  <si>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</si>
  <si>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</si>
  <si>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</si>
  <si>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</si>
  <si>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</si>
  <si>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</si>
  <si>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</si>
  <si>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</si>
  <si>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</si>
  <si>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</si>
  <si>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</si>
  <si>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</si>
  <si>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</si>
  <si>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</si>
  <si>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</si>
  <si>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</si>
  <si>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</si>
  <si>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</si>
  <si>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</si>
  <si>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</si>
  <si>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</si>
  <si>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</si>
  <si>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</si>
  <si>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</si>
  <si>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</si>
  <si>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</si>
  <si>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</si>
  <si>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</si>
  <si>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</si>
  <si>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</si>
  <si>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</si>
  <si>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</si>
  <si>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</si>
  <si>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</si>
  <si>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</si>
  <si>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</si>
  <si>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</si>
  <si>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</si>
  <si>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</si>
  <si>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</si>
  <si>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</si>
  <si>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</si>
  <si>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</si>
  <si>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</si>
  <si>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</si>
  <si>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</si>
  <si>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</si>
  <si>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</si>
  <si>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</si>
  <si>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</si>
  <si>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</si>
  <si>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</si>
  <si>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</si>
  <si>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</si>
  <si>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</si>
  <si>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</si>
  <si>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</si>
  <si>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</si>
  <si>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</si>
  <si>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</si>
  <si>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</si>
  <si>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</si>
  <si>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</si>
  <si>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</si>
  <si>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</si>
  <si>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</si>
  <si>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</si>
  <si>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</si>
  <si>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</si>
  <si>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</si>
  <si>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</si>
  <si>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</si>
  <si>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</si>
  <si>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</si>
  <si>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</si>
  <si>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</si>
  <si>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</si>
  <si>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</si>
  <si>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</si>
  <si>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</si>
  <si>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</si>
  <si>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</si>
  <si>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</si>
  <si>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</si>
  <si>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</si>
  <si>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</si>
  <si>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</si>
  <si>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</si>
  <si>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</si>
  <si>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</si>
  <si>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</si>
  <si>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</si>
  <si>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</si>
  <si>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</si>
  <si>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</si>
  <si>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</si>
  <si>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</si>
  <si>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</si>
  <si>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</si>
  <si>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</si>
  <si>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</si>
  <si>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Timestamp</t>
  </si>
  <si>
    <t>Customer relationship</t>
  </si>
  <si>
    <t>Total Revenue</t>
  </si>
  <si>
    <t>Total Transactions</t>
  </si>
  <si>
    <t>Total Quantity</t>
  </si>
  <si>
    <t>Average Transaction Value</t>
  </si>
  <si>
    <t>Highest Transaction</t>
  </si>
  <si>
    <t>Lowest Transaction</t>
  </si>
  <si>
    <t>Customer Name</t>
  </si>
  <si>
    <t>No.</t>
  </si>
  <si>
    <t>Revenue</t>
  </si>
  <si>
    <t>Top 10 Customers</t>
  </si>
  <si>
    <t>Product</t>
  </si>
  <si>
    <t>Quantity Sold</t>
  </si>
  <si>
    <t>Top 3 Products</t>
  </si>
  <si>
    <t>Abbreviation_Customer_Name</t>
  </si>
  <si>
    <t>Analysis</t>
  </si>
  <si>
    <t>Eomonth of sales</t>
  </si>
  <si>
    <t>Payment Method</t>
  </si>
  <si>
    <t>Total Amount</t>
  </si>
  <si>
    <t>Total</t>
  </si>
  <si>
    <t>Growth %</t>
  </si>
  <si>
    <t>Projected Sales</t>
  </si>
  <si>
    <t>Low Growth</t>
  </si>
  <si>
    <t>Created by Ayush Donga on 08-10-2026</t>
  </si>
  <si>
    <t>High Growth</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</si>
  <si>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</si>
  <si>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</si>
  <si>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</si>
  <si>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</si>
  <si>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</si>
  <si>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</si>
  <si>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</si>
  <si>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</si>
  <si>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</si>
  <si>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</si>
  <si>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</si>
  <si>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</si>
  <si>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</si>
  <si>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</si>
  <si>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</si>
  <si>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</si>
  <si>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</si>
  <si>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</si>
  <si>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</si>
  <si>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</si>
  <si>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</si>
  <si>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</si>
  <si>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</si>
  <si>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</si>
  <si>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</si>
  <si>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</si>
  <si>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</si>
  <si>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</si>
  <si>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</si>
  <si>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</si>
  <si>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$A$20</t>
  </si>
  <si>
    <t>$B$20</t>
  </si>
  <si>
    <t>Medium Growth</t>
  </si>
  <si>
    <t>Scenario Manager</t>
  </si>
  <si>
    <t>Current Total Sales</t>
  </si>
  <si>
    <t>Purchase Frequency</t>
  </si>
  <si>
    <t>Goal Seek (₹3,50,000 revenue)</t>
  </si>
  <si>
    <t>Very High Growth</t>
  </si>
  <si>
    <t>High-Value Customers (&gt;5000)</t>
  </si>
  <si>
    <t>Row Labels</t>
  </si>
  <si>
    <t>Grand Total</t>
  </si>
  <si>
    <t>Sum of Total_Amount</t>
  </si>
  <si>
    <t>Column Labels</t>
  </si>
  <si>
    <t>Sales Month</t>
  </si>
  <si>
    <t>Sum of Quantity</t>
  </si>
  <si>
    <t>Count of Total_Amount</t>
  </si>
  <si>
    <t>Two Lists &amp; Extract Matching Names</t>
  </si>
  <si>
    <t>List A</t>
  </si>
  <si>
    <t>List B</t>
  </si>
  <si>
    <t>List C</t>
  </si>
  <si>
    <t>Arjun</t>
  </si>
  <si>
    <t>Neha</t>
  </si>
  <si>
    <t>Riya</t>
  </si>
  <si>
    <t>Karan</t>
  </si>
  <si>
    <t>Meera</t>
  </si>
  <si>
    <t>Rohan</t>
  </si>
  <si>
    <t>Kavya</t>
  </si>
  <si>
    <t>Ananya</t>
  </si>
  <si>
    <t>Vikram</t>
  </si>
  <si>
    <t>Dev</t>
  </si>
  <si>
    <t>Prit</t>
  </si>
  <si>
    <t>Maching Name</t>
  </si>
  <si>
    <t>SALES PERFORMANCE DASHBOARD</t>
  </si>
  <si>
    <t>TOTAL REVENUE</t>
  </si>
  <si>
    <t>TRANSACTIONS</t>
  </si>
  <si>
    <t>UNITS SOLD</t>
  </si>
  <si>
    <t>AVG ORDER VALUE</t>
  </si>
  <si>
    <t>TOP PRODUCT</t>
  </si>
  <si>
    <t>📌 Key Insights</t>
  </si>
  <si>
    <t>🎯 Recommendations</t>
  </si>
  <si>
    <t>Focus on retaining high-value customers through loyalty offers.</t>
  </si>
  <si>
    <t>Maintain sufficient stock of top-selling products.</t>
  </si>
  <si>
    <t>Improve marketing in low-performing regions.</t>
  </si>
  <si>
    <t>Use customer segments for targeted promotions.</t>
  </si>
  <si>
    <t>Monitor monthly sales trends for better planning.</t>
  </si>
  <si>
    <r>
      <t xml:space="preserve">💰 </t>
    </r>
    <r>
      <rPr>
        <b/>
        <sz val="12"/>
        <color theme="1"/>
        <rFont val="Aptos Narrow"/>
        <family val="2"/>
        <scheme val="minor"/>
      </rPr>
      <t>Revenue:</t>
    </r>
    <r>
      <rPr>
        <sz val="12"/>
        <color theme="1"/>
        <rFont val="Aptos Narrow"/>
        <family val="2"/>
        <scheme val="minor"/>
      </rPr>
      <t xml:space="preserve"> Total revenue indicates the overall sales performance of the business.</t>
    </r>
  </si>
  <si>
    <r>
      <t xml:space="preserve">👑 </t>
    </r>
    <r>
      <rPr>
        <b/>
        <sz val="12"/>
        <color theme="1"/>
        <rFont val="Aptos Narrow"/>
        <family val="2"/>
        <scheme val="minor"/>
      </rPr>
      <t>Top Customers:</t>
    </r>
    <r>
      <rPr>
        <sz val="12"/>
        <color theme="1"/>
        <rFont val="Aptos Narrow"/>
        <family val="2"/>
        <scheme val="minor"/>
      </rPr>
      <t xml:space="preserve"> High-value and frequent customers contribute significantly to revenue.</t>
    </r>
  </si>
  <si>
    <r>
      <t xml:space="preserve">📦 </t>
    </r>
    <r>
      <rPr>
        <b/>
        <sz val="12"/>
        <color theme="1"/>
        <rFont val="Aptos Narrow"/>
        <family val="2"/>
        <scheme val="minor"/>
      </rPr>
      <t>Top Products:</t>
    </r>
    <r>
      <rPr>
        <sz val="12"/>
        <color theme="1"/>
        <rFont val="Aptos Narrow"/>
        <family val="2"/>
        <scheme val="minor"/>
      </rPr>
      <t xml:space="preserve"> Best-selling products should receive priority in inventory and promotions.</t>
    </r>
  </si>
  <si>
    <r>
      <t xml:space="preserve">🌍 </t>
    </r>
    <r>
      <rPr>
        <b/>
        <sz val="12"/>
        <color theme="1"/>
        <rFont val="Aptos Narrow"/>
        <family val="2"/>
        <scheme val="minor"/>
      </rPr>
      <t>Regional Performance:</t>
    </r>
    <r>
      <rPr>
        <sz val="12"/>
        <color theme="1"/>
        <rFont val="Aptos Narrow"/>
        <family val="2"/>
        <scheme val="minor"/>
      </rPr>
      <t xml:space="preserve"> The highest-performing region contributes the most to overall sales.</t>
    </r>
  </si>
  <si>
    <r>
      <t xml:space="preserve">📈 </t>
    </r>
    <r>
      <rPr>
        <b/>
        <sz val="12"/>
        <color theme="1"/>
        <rFont val="Aptos Narrow"/>
        <family val="2"/>
        <scheme val="minor"/>
      </rPr>
      <t>Sales Trend:</t>
    </r>
    <r>
      <rPr>
        <sz val="12"/>
        <color theme="1"/>
        <rFont val="Aptos Narrow"/>
        <family val="2"/>
        <scheme val="minor"/>
      </rPr>
      <t xml:space="preserve"> Monthly sales trends highlight periods of growth and decline.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</si>
</sst>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Red]&quot;₹&quot;\ \-#,##0.00"/>
    <numFmt numFmtId="165" formatCode="&quot;₹&quot;\ #,##0.00"/>
    <numFmt numFmtId="166" formatCode="_ [$₹-4009]\ * #,##0.00_ ;_ [$₹-4009]\ * \-#,##0.00_ ;_ [$₹-4009]\ * &quot;-&quot;??_ ;_ @_ "/>
  </numFmts>
  <fonts count="24">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sz val="11"/>
      <color theme="1"/>
      <name val="Calibri"/>
      <family val="2"/>
    </font>
    <font>
      <b/>
      <sz val="14"/>
      <color theme="0"/>
      <name val="Aptos Narrow"/>
      <family val="2"/>
      <scheme val="minor"/>
    </font>
    <font>
      <sz val="14"/>
      <color theme="0"/>
      <name val="Aptos Narrow"/>
      <family val="2"/>
      <scheme val="minor"/>
    </font>
    <font>
      <sz val="11"/>
      <color theme="1"/>
      <name val="Aptos Narrow"/>
      <family val="2"/>
      <scheme val="minor"/>
    </font>
    <font>
      <b/>
      <sz val="14"/>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i/>
      <sz val="11"/>
      <color theme="1"/>
      <name val="Aptos Narrow"/>
      <family val="2"/>
      <scheme val="minor"/>
    </font>
    <font>
      <b/>
      <sz val="12"/>
      <color theme="0"/>
      <name val="Aptos Narrow"/>
      <family val="2"/>
      <scheme val="minor"/>
    </font>
    <font>
      <b/>
      <sz val="22"/>
      <color rgb="FFFFFFFF"/>
      <name val="Arial"/>
      <family val="2"/>
    </font>
    <font>
      <sz val="10"/>
      <color rgb="FFB6C2D9"/>
      <name val="Arial"/>
      <family val="2"/>
    </font>
    <font>
      <b/>
      <sz val="9"/>
      <color rgb="FF6B7280"/>
      <name val="Arial"/>
      <family val="2"/>
    </font>
    <font>
      <b/>
      <sz val="22"/>
      <color rgb="FF1B2A49"/>
      <name val="Arial"/>
      <family val="2"/>
    </font>
    <font>
      <b/>
      <sz val="12"/>
      <color theme="1"/>
      <name val="Aptos Narrow"/>
      <family val="2"/>
      <scheme val="minor"/>
    </font>
    <font>
      <sz val="12"/>
      <color theme="1"/>
      <name val="Aptos Narrow"/>
      <family val="2"/>
      <scheme val="minor"/>
    </font>
    <font>
      <b/>
      <sz val="16"/>
      <name val="Aptos Narrow"/>
      <family val="2"/>
      <scheme val="minor"/>
    </font>
  </fonts>
  <fills count="17">
    <fill>
      <patternFill patternType="none"/>
    </fill>
    <fill>
      <patternFill patternType="gray125"/>
    </fill>
    <fill>
      <patternFill patternType="solid">
        <fgColor theme="3" tint="9.9978637043366805E-2"/>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00B05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7030A0"/>
        <bgColor indexed="64"/>
      </patternFill>
    </fill>
    <fill>
      <patternFill patternType="solid">
        <fgColor theme="6" tint="0.79998168889431442"/>
        <bgColor indexed="64"/>
      </patternFill>
    </fill>
    <fill>
      <patternFill patternType="solid">
        <fgColor theme="4" tint="-0.499984740745262"/>
        <bgColor indexed="64"/>
      </patternFill>
    </fill>
    <fill>
      <patternFill patternType="solid">
        <fgColor rgb="FF1B2A49"/>
      </patternFill>
    </fill>
    <fill>
      <patternFill patternType="solid">
        <fgColor rgb="FF14B8A6"/>
      </patternFill>
    </fill>
    <fill>
      <patternFill patternType="solid">
        <fgColor rgb="FFEEF2F7"/>
      </patternFill>
    </fill>
    <fill>
      <patternFill patternType="solid">
        <fgColor rgb="FFFFFFFF"/>
      </patternFill>
    </fill>
  </fills>
  <borders count="3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rgb="FFE5E7EB"/>
      </left>
      <right style="thin">
        <color rgb="FFE5E7EB"/>
      </right>
      <top style="thick">
        <color rgb="FF2563EB"/>
      </top>
      <bottom/>
      <diagonal/>
    </border>
    <border>
      <left/>
      <right style="thin">
        <color rgb="FFE5E7EB"/>
      </right>
      <top style="thick">
        <color rgb="FF2563EB"/>
      </top>
      <bottom/>
      <diagonal/>
    </border>
    <border>
      <left style="thin">
        <color rgb="FFE5E7EB"/>
      </left>
      <right style="thin">
        <color rgb="FFE5E7EB"/>
      </right>
      <top style="thick">
        <color rgb="FF14B8A6"/>
      </top>
      <bottom/>
      <diagonal/>
    </border>
    <border>
      <left/>
      <right style="thin">
        <color rgb="FFE5E7EB"/>
      </right>
      <top style="thick">
        <color rgb="FF14B8A6"/>
      </top>
      <bottom/>
      <diagonal/>
    </border>
    <border>
      <left style="thin">
        <color rgb="FFE5E7EB"/>
      </left>
      <right style="thin">
        <color rgb="FFE5E7EB"/>
      </right>
      <top style="thick">
        <color rgb="FFF59E0B"/>
      </top>
      <bottom/>
      <diagonal/>
    </border>
    <border>
      <left/>
      <right style="thin">
        <color rgb="FFE5E7EB"/>
      </right>
      <top style="thick">
        <color rgb="FFF59E0B"/>
      </top>
      <bottom/>
      <diagonal/>
    </border>
    <border>
      <left style="thin">
        <color rgb="FFE5E7EB"/>
      </left>
      <right style="thin">
        <color rgb="FFE5E7EB"/>
      </right>
      <top style="thick">
        <color rgb="FF8B5CF6"/>
      </top>
      <bottom/>
      <diagonal/>
    </border>
    <border>
      <left/>
      <right style="thin">
        <color rgb="FFE5E7EB"/>
      </right>
      <top style="thick">
        <color rgb="FF8B5CF6"/>
      </top>
      <bottom/>
      <diagonal/>
    </border>
    <border>
      <left style="thin">
        <color rgb="FFE5E7EB"/>
      </left>
      <right style="thin">
        <color rgb="FFE5E7EB"/>
      </right>
      <top style="thick">
        <color rgb="FFEF4444"/>
      </top>
      <bottom/>
      <diagonal/>
    </border>
    <border>
      <left/>
      <right style="thin">
        <color rgb="FFE5E7EB"/>
      </right>
      <top style="thick">
        <color rgb="FFEF4444"/>
      </top>
      <bottom/>
      <diagonal/>
    </border>
    <border>
      <left style="thin">
        <color rgb="FFE5E7EB"/>
      </left>
      <right style="thin">
        <color rgb="FFE5E7EB"/>
      </right>
      <top/>
      <bottom/>
      <diagonal/>
    </border>
    <border>
      <left/>
      <right style="thin">
        <color rgb="FFE5E7EB"/>
      </right>
      <top/>
      <bottom/>
      <diagonal/>
    </border>
  </borders>
  <cellStyleXfs count="1">
    <xf numFmtId="0" fontId="0" fillId="0" borderId="0"/>
  </cellStyleXfs>
  <cellXfs count="91">
    <xf numFmtId="0" fontId="0" fillId="0" borderId="0" xfId="0"/>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7" xfId="0" applyFont="1" applyBorder="1" applyAlignment="1">
      <alignment horizontal="center" vertical="center" wrapText="1"/>
    </xf>
    <xf numFmtId="14" fontId="5" fillId="0" borderId="8" xfId="0" applyNumberFormat="1" applyFont="1" applyBorder="1" applyAlignment="1">
      <alignment horizontal="center" vertical="center" wrapText="1"/>
    </xf>
    <xf numFmtId="0" fontId="5" fillId="0" borderId="8" xfId="0" applyFont="1" applyBorder="1" applyAlignment="1">
      <alignment horizontal="center" vertical="center" wrapText="1"/>
    </xf>
    <xf numFmtId="22" fontId="5" fillId="0" borderId="5" xfId="0" applyNumberFormat="1" applyFont="1" applyBorder="1" applyAlignment="1">
      <alignment horizontal="center" vertical="center" wrapText="1"/>
    </xf>
    <xf numFmtId="0" fontId="5" fillId="0" borderId="0" xfId="0" applyFont="1" applyAlignment="1">
      <alignment horizontal="center" vertical="center" wrapText="1"/>
    </xf>
    <xf numFmtId="0" fontId="5" fillId="0" borderId="6" xfId="0" applyFont="1" applyBorder="1" applyAlignment="1">
      <alignment horizontal="center" vertical="center" wrapText="1"/>
    </xf>
    <xf numFmtId="164" fontId="5" fillId="0" borderId="3" xfId="0" applyNumberFormat="1" applyFont="1" applyBorder="1" applyAlignment="1">
      <alignment horizontal="center" vertical="center" wrapText="1"/>
    </xf>
    <xf numFmtId="0" fontId="1" fillId="2" borderId="9" xfId="0" applyFont="1" applyFill="1" applyBorder="1" applyAlignment="1">
      <alignment horizontal="center" vertical="center"/>
    </xf>
    <xf numFmtId="0" fontId="0" fillId="0" borderId="9" xfId="0" applyBorder="1" applyAlignment="1">
      <alignment horizontal="center" vertical="center"/>
    </xf>
    <xf numFmtId="164" fontId="0" fillId="0" borderId="9" xfId="0" applyNumberFormat="1" applyBorder="1" applyAlignment="1">
      <alignment horizontal="center" vertical="center"/>
    </xf>
    <xf numFmtId="0" fontId="0" fillId="0" borderId="9" xfId="0" applyBorder="1" applyAlignment="1">
      <alignment vertical="center"/>
    </xf>
    <xf numFmtId="164" fontId="0" fillId="0" borderId="0" xfId="0" applyNumberFormat="1" applyAlignment="1">
      <alignment horizontal="center" vertical="center"/>
    </xf>
    <xf numFmtId="0" fontId="0" fillId="0" borderId="9" xfId="0" applyBorder="1" applyAlignment="1">
      <alignment horizontal="center"/>
    </xf>
    <xf numFmtId="164" fontId="0" fillId="0" borderId="9" xfId="0" applyNumberFormat="1" applyBorder="1" applyAlignment="1">
      <alignment vertical="center"/>
    </xf>
    <xf numFmtId="0" fontId="1" fillId="4" borderId="9" xfId="0" applyFont="1" applyFill="1" applyBorder="1" applyAlignment="1">
      <alignment horizontal="center" vertical="center"/>
    </xf>
    <xf numFmtId="164" fontId="0" fillId="0" borderId="9" xfId="0" applyNumberFormat="1" applyBorder="1" applyAlignment="1">
      <alignment horizontal="center"/>
    </xf>
    <xf numFmtId="0" fontId="2" fillId="0" borderId="9" xfId="0" applyFont="1" applyBorder="1" applyAlignment="1">
      <alignment horizontal="center"/>
    </xf>
    <xf numFmtId="14" fontId="5" fillId="0" borderId="0" xfId="0" applyNumberFormat="1" applyFont="1" applyAlignment="1">
      <alignment horizontal="center" vertical="center" wrapText="1"/>
    </xf>
    <xf numFmtId="0" fontId="2" fillId="0" borderId="9" xfId="0" applyFont="1" applyBorder="1" applyAlignment="1">
      <alignment horizontal="center" vertical="center"/>
    </xf>
    <xf numFmtId="0" fontId="9" fillId="6" borderId="9" xfId="0" applyFont="1" applyFill="1" applyBorder="1" applyAlignment="1">
      <alignment horizontal="center" vertical="center"/>
    </xf>
    <xf numFmtId="9" fontId="0" fillId="0" borderId="0" xfId="0" applyNumberFormat="1"/>
    <xf numFmtId="0" fontId="0" fillId="0" borderId="11" xfId="0" applyBorder="1"/>
    <xf numFmtId="0" fontId="10" fillId="7" borderId="12" xfId="0" applyFont="1" applyFill="1" applyBorder="1" applyAlignment="1">
      <alignment horizontal="left"/>
    </xf>
    <xf numFmtId="0" fontId="10" fillId="7" borderId="10" xfId="0" applyFont="1" applyFill="1" applyBorder="1" applyAlignment="1">
      <alignment horizontal="left"/>
    </xf>
    <xf numFmtId="0" fontId="0" fillId="0" borderId="13" xfId="0" applyBorder="1"/>
    <xf numFmtId="0" fontId="11" fillId="8" borderId="0" xfId="0" applyFont="1" applyFill="1" applyAlignment="1">
      <alignment horizontal="left"/>
    </xf>
    <xf numFmtId="0" fontId="12" fillId="8" borderId="13" xfId="0" applyFont="1" applyFill="1" applyBorder="1" applyAlignment="1">
      <alignment horizontal="left"/>
    </xf>
    <xf numFmtId="0" fontId="11" fillId="8" borderId="11" xfId="0" applyFont="1" applyFill="1" applyBorder="1" applyAlignment="1">
      <alignment horizontal="left"/>
    </xf>
    <xf numFmtId="0" fontId="13" fillId="7" borderId="10" xfId="0" applyFont="1" applyFill="1" applyBorder="1" applyAlignment="1">
      <alignment horizontal="right"/>
    </xf>
    <xf numFmtId="0" fontId="13" fillId="7" borderId="12" xfId="0" applyFont="1" applyFill="1" applyBorder="1" applyAlignment="1">
      <alignment horizontal="right"/>
    </xf>
    <xf numFmtId="9" fontId="0" fillId="9" borderId="0" xfId="0" applyNumberFormat="1" applyFill="1"/>
    <xf numFmtId="0" fontId="14" fillId="0" borderId="0" xfId="0" applyFont="1" applyAlignment="1">
      <alignment vertical="top" wrapText="1"/>
    </xf>
    <xf numFmtId="164" fontId="0" fillId="0" borderId="11" xfId="0" applyNumberFormat="1" applyBorder="1"/>
    <xf numFmtId="0" fontId="15" fillId="0" borderId="14" xfId="0" applyFont="1" applyBorder="1" applyAlignment="1">
      <alignment horizontal="center"/>
    </xf>
    <xf numFmtId="0" fontId="15" fillId="0" borderId="14" xfId="0" applyFont="1" applyBorder="1" applyAlignment="1">
      <alignment horizontal="centerContinuous"/>
    </xf>
    <xf numFmtId="9" fontId="0" fillId="0" borderId="9" xfId="0" applyNumberFormat="1" applyBorder="1" applyAlignment="1">
      <alignment horizontal="center" vertical="center"/>
    </xf>
    <xf numFmtId="9" fontId="2" fillId="0" borderId="9" xfId="0" applyNumberFormat="1" applyFont="1" applyBorder="1" applyAlignment="1">
      <alignment horizontal="center" vertical="center"/>
    </xf>
    <xf numFmtId="0" fontId="16" fillId="10" borderId="9" xfId="0" applyFont="1" applyFill="1" applyBorder="1" applyAlignment="1">
      <alignment horizontal="center"/>
    </xf>
    <xf numFmtId="164" fontId="16" fillId="10" borderId="9" xfId="0" applyNumberFormat="1" applyFont="1" applyFill="1" applyBorder="1" applyAlignment="1">
      <alignment horizontal="center"/>
    </xf>
    <xf numFmtId="0" fontId="0" fillId="0" borderId="17" xfId="0" pivotButton="1" applyBorder="1" applyAlignment="1">
      <alignment horizontal="center"/>
    </xf>
    <xf numFmtId="0" fontId="0" fillId="0" borderId="17" xfId="0" applyBorder="1" applyAlignment="1">
      <alignment horizontal="center"/>
    </xf>
    <xf numFmtId="164" fontId="0" fillId="0" borderId="17" xfId="0" applyNumberFormat="1" applyBorder="1" applyAlignment="1">
      <alignment horizontal="center"/>
    </xf>
    <xf numFmtId="0" fontId="0" fillId="0" borderId="0" xfId="0" quotePrefix="1"/>
    <xf numFmtId="0" fontId="0" fillId="0" borderId="17" xfId="0" applyBorder="1" applyAlignment="1">
      <alignment horizontal="center" vertical="center" wrapText="1"/>
    </xf>
    <xf numFmtId="0" fontId="2" fillId="11" borderId="17" xfId="0" applyFont="1" applyFill="1" applyBorder="1" applyAlignment="1">
      <alignment horizontal="center"/>
    </xf>
    <xf numFmtId="0" fontId="1" fillId="12" borderId="17" xfId="0" applyFont="1" applyFill="1" applyBorder="1" applyAlignment="1">
      <alignment horizontal="center" vertical="center" wrapText="1"/>
    </xf>
    <xf numFmtId="0" fontId="1" fillId="12" borderId="17" xfId="0" applyFont="1" applyFill="1" applyBorder="1" applyAlignment="1">
      <alignment horizontal="center"/>
    </xf>
    <xf numFmtId="0" fontId="8" fillId="13" borderId="0" xfId="0" applyFont="1" applyFill="1"/>
    <xf numFmtId="0" fontId="8" fillId="14" borderId="0" xfId="0" applyFont="1" applyFill="1"/>
    <xf numFmtId="0" fontId="8" fillId="15" borderId="0" xfId="0" applyFont="1" applyFill="1"/>
    <xf numFmtId="0" fontId="8" fillId="15" borderId="11" xfId="0" applyFont="1" applyFill="1" applyBorder="1"/>
    <xf numFmtId="0" fontId="22" fillId="0" borderId="0" xfId="0" applyFont="1" applyAlignment="1">
      <alignment horizontal="left" vertical="center" indent="1"/>
    </xf>
    <xf numFmtId="0" fontId="22" fillId="0" borderId="0" xfId="0" applyFont="1"/>
    <xf numFmtId="0" fontId="9" fillId="0" borderId="0" xfId="0" applyFont="1"/>
    <xf numFmtId="0" fontId="19" fillId="16" borderId="26" xfId="0" applyFont="1" applyFill="1" applyBorder="1" applyAlignment="1">
      <alignment horizontal="left" vertical="center" indent="1"/>
    </xf>
    <xf numFmtId="0" fontId="8" fillId="0" borderId="27" xfId="0" applyFont="1" applyBorder="1"/>
    <xf numFmtId="165" fontId="20" fillId="16" borderId="28" xfId="0" applyNumberFormat="1" applyFont="1" applyFill="1" applyBorder="1" applyAlignment="1">
      <alignment horizontal="left" vertical="center" indent="1"/>
    </xf>
    <xf numFmtId="165" fontId="8" fillId="0" borderId="29" xfId="0" applyNumberFormat="1" applyFont="1" applyBorder="1"/>
    <xf numFmtId="3" fontId="20" fillId="16" borderId="28" xfId="0" applyNumberFormat="1" applyFont="1" applyFill="1" applyBorder="1" applyAlignment="1">
      <alignment horizontal="center" vertical="center"/>
    </xf>
    <xf numFmtId="0" fontId="8" fillId="0" borderId="29" xfId="0" applyFont="1" applyBorder="1" applyAlignment="1">
      <alignment horizontal="center"/>
    </xf>
    <xf numFmtId="166" fontId="20" fillId="16" borderId="28" xfId="0" applyNumberFormat="1" applyFont="1" applyFill="1" applyBorder="1" applyAlignment="1">
      <alignment horizontal="left" vertical="center"/>
    </xf>
    <xf numFmtId="166" fontId="8" fillId="0" borderId="29" xfId="0" applyNumberFormat="1" applyFont="1" applyBorder="1" applyAlignment="1">
      <alignment horizontal="left"/>
    </xf>
    <xf numFmtId="0" fontId="20" fillId="16" borderId="28" xfId="0" applyFont="1" applyFill="1" applyBorder="1" applyAlignment="1">
      <alignment horizontal="center" vertical="center"/>
    </xf>
    <xf numFmtId="0" fontId="17" fillId="13" borderId="0" xfId="0" applyFont="1" applyFill="1" applyAlignment="1">
      <alignment vertical="center"/>
    </xf>
    <xf numFmtId="0" fontId="0" fillId="0" borderId="0" xfId="0"/>
    <xf numFmtId="0" fontId="18" fillId="13" borderId="0" xfId="0" applyFont="1" applyFill="1" applyAlignment="1">
      <alignment vertical="center"/>
    </xf>
    <xf numFmtId="0" fontId="19" fillId="16" borderId="18" xfId="0" applyFont="1" applyFill="1" applyBorder="1" applyAlignment="1">
      <alignment horizontal="left" vertical="center" indent="1"/>
    </xf>
    <xf numFmtId="0" fontId="8" fillId="0" borderId="19" xfId="0" applyFont="1" applyBorder="1"/>
    <xf numFmtId="0" fontId="19" fillId="16" borderId="20" xfId="0" applyFont="1" applyFill="1" applyBorder="1" applyAlignment="1">
      <alignment horizontal="left" vertical="center" indent="1"/>
    </xf>
    <xf numFmtId="0" fontId="8" fillId="0" borderId="21" xfId="0" applyFont="1" applyBorder="1"/>
    <xf numFmtId="0" fontId="19" fillId="16" borderId="22" xfId="0" applyFont="1" applyFill="1" applyBorder="1" applyAlignment="1">
      <alignment horizontal="left" vertical="center" indent="1"/>
    </xf>
    <xf numFmtId="0" fontId="8" fillId="0" borderId="23" xfId="0" applyFont="1" applyBorder="1"/>
    <xf numFmtId="0" fontId="19" fillId="16" borderId="24" xfId="0" applyFont="1" applyFill="1" applyBorder="1" applyAlignment="1">
      <alignment horizontal="left" vertical="center" indent="1"/>
    </xf>
    <xf numFmtId="0" fontId="8" fillId="0" borderId="25" xfId="0" applyFont="1" applyBorder="1"/>
    <xf numFmtId="0" fontId="6" fillId="10" borderId="15" xfId="0" applyFont="1" applyFill="1" applyBorder="1" applyAlignment="1">
      <alignment horizontal="center" vertical="center"/>
    </xf>
    <xf numFmtId="0" fontId="6" fillId="10" borderId="16" xfId="0" applyFont="1" applyFill="1" applyBorder="1" applyAlignment="1">
      <alignment horizontal="center" vertical="center"/>
    </xf>
    <xf numFmtId="0" fontId="6" fillId="12" borderId="17" xfId="0" applyFont="1" applyFill="1" applyBorder="1" applyAlignment="1">
      <alignment horizontal="center" vertical="center"/>
    </xf>
    <xf numFmtId="0" fontId="6" fillId="4" borderId="9" xfId="0" applyFont="1" applyFill="1" applyBorder="1" applyAlignment="1">
      <alignment horizontal="center"/>
    </xf>
    <xf numFmtId="0" fontId="7" fillId="4" borderId="9" xfId="0" applyFont="1" applyFill="1" applyBorder="1" applyAlignment="1">
      <alignment horizontal="center"/>
    </xf>
    <xf numFmtId="0" fontId="6" fillId="4" borderId="9" xfId="0" applyFont="1" applyFill="1" applyBorder="1" applyAlignment="1">
      <alignment horizontal="center" vertical="center"/>
    </xf>
    <xf numFmtId="0" fontId="7" fillId="4" borderId="9" xfId="0" applyFont="1" applyFill="1" applyBorder="1" applyAlignment="1">
      <alignment horizontal="center" vertical="center"/>
    </xf>
    <xf numFmtId="0" fontId="6" fillId="3" borderId="9" xfId="0" applyFont="1" applyFill="1" applyBorder="1" applyAlignment="1">
      <alignment horizontal="center" vertical="center"/>
    </xf>
    <xf numFmtId="0" fontId="3" fillId="5" borderId="9" xfId="0" applyFont="1" applyFill="1" applyBorder="1" applyAlignment="1">
      <alignment horizontal="center"/>
    </xf>
    <xf numFmtId="0" fontId="23" fillId="5" borderId="9" xfId="0" applyFont="1" applyFill="1" applyBorder="1" applyAlignment="1">
      <alignment horizontal="center"/>
    </xf>
  </cellXfs>
  <cellStyles count="1">
    <cellStyle name="Normal" xfId="0" builtinId="0"/>
  </cellStyles>
  <dxfs count="107">
    <dxf>
      <font>
        <color theme="0"/>
      </font>
      <fill>
        <patternFill>
          <bgColor theme="4"/>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167" formatCode="dd/mm/yyyy\ hh:mm"/>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border diagonalUp="0" diagonalDown="0">
        <left style="medium">
          <color rgb="FFCCCCCC"/>
        </left>
        <right/>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8"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8"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801865"/>
      <color rgb="FF8521C3"/>
      <color rgb="FF14B8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[Final-project.xlsx]Pivot Table!PivotTable10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747-4E98-AC25-1DBF87433F5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747-4E98-AC25-1DBF87433F5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747-4E98-AC25-1DBF87433F5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747-4E98-AC25-1DBF87433F5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Table'!$A$16:$A$20</c:f>
              <c:strCache>
                <c:ptCount val="4"/>
                <c:pt idx="0">
                  <c:v>Cash</c:v>
                </c:pt>
                <c:pt idx="1">
                  <c:v>Credit Card</c:v>
                </c:pt>
                <c:pt idx="2">
                  <c:v>Debit Card</c:v>
                </c:pt>
                <c:pt idx="3">
                  <c:v>PayPal</c:v>
                </c:pt>
              </c:strCache>
            </c:strRef>
          </c:cat>
          <c:val>
            <c:numRef>
              <c:f>'Pivot Table'!$B$16:$B$20</c:f>
              <c:numCache>
                <c:formatCode>"₹"\ #,##0.00;[Red]"₹"\ \-#,##0.00</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8-F747-4E98-AC25-1DBF87433F5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[Final-project.xlsx]Pivot Table!PivotTable8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Table'!$G$2:$G$7</c:f>
              <c:strCache>
                <c:ptCount val="5"/>
                <c:pt idx="0">
                  <c:v>Central</c:v>
                </c:pt>
                <c:pt idx="1">
                  <c:v>East</c:v>
                </c:pt>
                <c:pt idx="2">
                  <c:v>North</c:v>
                </c:pt>
                <c:pt idx="3">
                  <c:v>South</c:v>
                </c:pt>
                <c:pt idx="4">
                  <c:v>West</c:v>
                </c:pt>
              </c:strCache>
            </c:strRef>
          </c:cat>
          <c:val>
            <c:numRef>
              <c:f>'Pivot Table'!$H$2:$H$7</c:f>
              <c:numCache>
                <c:formatCode>"₹"\ #,##0.00;[Red]"₹"\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087C-4922-8ABE-080B1487F576}"/>
            </c:ext>
          </c:extLst>
        </c:ser>
        <c:dLbls>
          <c:dLblPos val="outEnd"/>
          <c:showLegendKey val="0"/>
          <c:showVal val="1"/>
          <c:showCatName val="0"/>
          <c:showSerName val="0"/>
          <c:showPercent val="0"/>
          <c:showBubbleSize val="0"/>
        </c:dLbls>
        <c:gapWidth val="219"/>
        <c:overlap val="-27"/>
        <c:axId val="1554443167"/>
        <c:axId val="864827567"/>
      </c:barChart>
      <c:catAx>
        <c:axId val="155444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27567"/>
        <c:crosses val="autoZero"/>
        <c:auto val="1"/>
        <c:lblAlgn val="ctr"/>
        <c:lblOffset val="100"/>
        <c:noMultiLvlLbl val="0"/>
      </c:catAx>
      <c:valAx>
        <c:axId val="864827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44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[Final-project.xlsx]Pivot Table!PivotTable6</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pivotFmt>
    </c:pivotFmts>
    <c:plotArea>
      <c:layout/>
      <c:lineChart>
        <c:grouping val="standard"/>
        <c:varyColors val="0"/>
        <c:ser>
          <c:idx val="0"/>
          <c:order val="0"/>
          <c:tx>
            <c:strRef>
              <c:f>'Pivot Table'!$E$9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Table'!$D$10:$D$22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Table'!$E$10:$E$22</c:f>
              <c:numCache>
                <c:formatCode>General</c:formatCode>
                <c:ptCount val="12"/>
                <c:pt idx="0">
                  <c:v>25799.15</c:v>
                </c:pt>
                <c:pt idx="1">
                  <c:v>16069.380000000001</c:v>
                </c:pt>
                <c:pt idx="2">
                  <c:v>19899.379999999997</c:v>
                </c:pt>
                <c:pt idx="3">
                  <c:v>27899.160000000007</c:v>
                </c:pt>
                <c:pt idx="4">
                  <c:v>17039.349999999999</c:v>
                </c:pt>
                <c:pt idx="5">
                  <c:v>19299.45</c:v>
                </c:pt>
                <c:pt idx="6">
                  <c:v>18479.399999999994</c:v>
                </c:pt>
                <c:pt idx="7">
                  <c:v>15759.429999999997</c:v>
                </c:pt>
                <c:pt idx="8">
                  <c:v>12989.509999999998</c:v>
                </c:pt>
                <c:pt idx="9">
                  <c:v>20609.52</c:v>
                </c:pt>
                <c:pt idx="10">
                  <c:v>12309.439999999999</c:v>
                </c:pt>
                <c:pt idx="11">
                  <c:v>23039.3</c:v>
                </c:pt>
              </c:numCache>
            </c:numRef>
          </c:val>
          <c:smooth val="0"/>
          <c:extLst>
            <c:ext xmlns:c16="http://schemas.microsoft.com/office/drawing/2014/chart" uri="{C3380CC4-5D6E-409C-BE32-E72D297353CC}">
              <c16:uniqueId val="{00000000-8B44-4C71-BD4C-ECC55AA14A60}"/>
            </c:ext>
          </c:extLst>
        </c:ser>
        <c:dLbls>
          <c:dLblPos val="ctr"/>
          <c:showLegendKey val="0"/>
          <c:showVal val="0"/>
          <c:showCatName val="0"/>
          <c:showSerName val="0"/>
          <c:showPercent val="0"/>
          <c:showBubbleSize val="0"/>
        </c:dLbls>
        <c:marker val="1"/>
        <c:smooth val="0"/>
        <c:axId val="1554447343"/>
        <c:axId val="864621167"/>
      </c:lineChart>
      <c:catAx>
        <c:axId val="15544473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4621167"/>
        <c:crosses val="autoZero"/>
        <c:auto val="1"/>
        <c:lblAlgn val="ctr"/>
        <c:lblOffset val="100"/>
        <c:noMultiLvlLbl val="0"/>
      </c:catAx>
      <c:valAx>
        <c:axId val="8646211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5444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[Final-project.xlsx]Pivot Table!PivotTable7</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Table'!$A$2:$A$12</c:f>
              <c:strCache>
                <c:ptCount val="10"/>
                <c:pt idx="0">
                  <c:v>Coffee Maker</c:v>
                </c:pt>
                <c:pt idx="1">
                  <c:v>Blender</c:v>
                </c:pt>
                <c:pt idx="2">
                  <c:v>Headphones</c:v>
                </c:pt>
                <c:pt idx="3">
                  <c:v>Keyboard</c:v>
                </c:pt>
                <c:pt idx="4">
                  <c:v>Office Chair</c:v>
                </c:pt>
                <c:pt idx="5">
                  <c:v>Bookshelf</c:v>
                </c:pt>
                <c:pt idx="6">
                  <c:v>Monitor</c:v>
                </c:pt>
                <c:pt idx="7">
                  <c:v>Desk</c:v>
                </c:pt>
                <c:pt idx="8">
                  <c:v>Smartphone</c:v>
                </c:pt>
                <c:pt idx="9">
                  <c:v>Laptop</c:v>
                </c:pt>
              </c:strCache>
            </c:strRef>
          </c:cat>
          <c:val>
            <c:numRef>
              <c:f>'Pivot Table'!$B$2:$B$12</c:f>
              <c:numCache>
                <c:formatCode>"₹"\ #,##0.00;[Red]"₹"\ \-#,##0.00</c:formatCode>
                <c:ptCount val="10"/>
                <c:pt idx="0">
                  <c:v>3119.6099999999992</c:v>
                </c:pt>
                <c:pt idx="1">
                  <c:v>5219.1299999999974</c:v>
                </c:pt>
                <c:pt idx="2">
                  <c:v>7049.5299999999988</c:v>
                </c:pt>
                <c:pt idx="3">
                  <c:v>8009.1099999999969</c:v>
                </c:pt>
                <c:pt idx="4">
                  <c:v>10399.479999999998</c:v>
                </c:pt>
                <c:pt idx="5">
                  <c:v>15298.979999999994</c:v>
                </c:pt>
                <c:pt idx="6">
                  <c:v>21999.119999999999</c:v>
                </c:pt>
                <c:pt idx="7">
                  <c:v>23399.22</c:v>
                </c:pt>
                <c:pt idx="8">
                  <c:v>67199.039999999994</c:v>
                </c:pt>
                <c:pt idx="9">
                  <c:v>67499.25</c:v>
                </c:pt>
              </c:numCache>
            </c:numRef>
          </c:val>
          <c:extLst>
            <c:ext xmlns:c16="http://schemas.microsoft.com/office/drawing/2014/chart" uri="{C3380CC4-5D6E-409C-BE32-E72D297353CC}">
              <c16:uniqueId val="{00000000-375A-456C-BF51-30D327E0D70A}"/>
            </c:ext>
          </c:extLst>
        </c:ser>
        <c:dLbls>
          <c:dLblPos val="inEnd"/>
          <c:showLegendKey val="0"/>
          <c:showVal val="1"/>
          <c:showCatName val="0"/>
          <c:showSerName val="0"/>
          <c:showPercent val="0"/>
          <c:showBubbleSize val="0"/>
        </c:dLbls>
        <c:gapWidth val="65"/>
        <c:axId val="1650355919"/>
        <c:axId val="864790607"/>
      </c:barChart>
      <c:catAx>
        <c:axId val="16503559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4790607"/>
        <c:crosses val="autoZero"/>
        <c:auto val="1"/>
        <c:lblAlgn val="ctr"/>
        <c:lblOffset val="100"/>
        <c:noMultiLvlLbl val="0"/>
      </c:catAx>
      <c:valAx>
        <c:axId val="8647906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0355919"/>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[Final-project.xlsx]Pivot Table!PivotTable11</c:name>
    <c:fmtId val="1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Revenue by Customer Segment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1"/>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pivotFmt>
    </c:pivotFmts>
    <c:plotArea>
      <c:layout/>
      <c:doughnutChart>
        <c:varyColors val="1"/>
        <c:ser>
          <c:idx val="0"/>
          <c:order val="0"/>
          <c:tx>
            <c:strRef>
              <c:f>'Pivot Table'!$K$1</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A21B-4843-8755-E52D838FA232}"/>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A21B-4843-8755-E52D838FA232}"/>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A21B-4843-8755-E52D838FA2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Table'!$J$2:$J$5</c:f>
              <c:strCache>
                <c:ptCount val="3"/>
                <c:pt idx="0">
                  <c:v>Basic</c:v>
                </c:pt>
                <c:pt idx="1">
                  <c:v>Premium</c:v>
                </c:pt>
                <c:pt idx="2">
                  <c:v>Standard</c:v>
                </c:pt>
              </c:strCache>
            </c:strRef>
          </c:cat>
          <c:val>
            <c:numRef>
              <c:f>'Pivot Table'!$K$2:$K$5</c:f>
              <c:numCache>
                <c:formatCode>"₹"\ #,##0.00;[Red]"₹"\ \-#,##0.00</c:formatCode>
                <c:ptCount val="3"/>
                <c:pt idx="0">
                  <c:v>62177.810000000019</c:v>
                </c:pt>
                <c:pt idx="1">
                  <c:v>84657.12000000001</c:v>
                </c:pt>
                <c:pt idx="2">
                  <c:v>82357.540000000037</c:v>
                </c:pt>
              </c:numCache>
            </c:numRef>
          </c:val>
          <c:extLst>
            <c:ext xmlns:c16="http://schemas.microsoft.com/office/drawing/2014/chart" uri="{C3380CC4-5D6E-409C-BE32-E72D297353CC}">
              <c16:uniqueId val="{00000006-A21B-4843-8755-E52D838FA23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0</xdr:row>
      <xdr:rowOff>50800</xdr:rowOff>
    </xdr:from>
    <xdr:to>
      <xdr:col>4</xdr:col>
      <xdr:colOff>1280160</xdr:colOff>
      <xdr:row>7</xdr:row>
      <xdr:rowOff>101600</xdr:rowOff>
    </xdr:to>
    <mc:AlternateContent xmlns:mc="http://schemas.openxmlformats.org/markup-compatibility/2006" xmlns:a14="http://schemas.microsoft.com/office/drawing/2010/main">
      <mc:Choice Requires="a14">
        <xdr:graphicFrame macro="">
          <xdr:nvGraphicFramePr>
            <xdr:cNvPr id="3" name="Sales Month">
              <a:extLst>
                <a:ext uri="{FF2B5EF4-FFF2-40B4-BE49-F238E27FC236}">
                  <a16:creationId xmlns:a16="http://schemas.microsoft.com/office/drawing/2014/main" id="{E3E8C6DE-C363-699C-88EF-D05C92DDCE8F}"/>
                </a:ext>
              </a:extLst>
            </xdr:cNvPr>
            <xdr:cNvGraphicFramePr/>
          </xdr:nvGraphicFramePr>
          <xdr:xfrm>
            <a:off x="0" y="0"/>
            <a:ext cx="0" cy="0"/>
          </xdr:xfrm>
          <a:graphic>
            <a:graphicData uri="http://schemas.microsoft.com/office/drawing/2010/slicer">
              <sle:slicer xmlns:sle="http://schemas.microsoft.com/office/drawing/2010/slicer" name="Sales Month"/>
            </a:graphicData>
          </a:graphic>
        </xdr:graphicFrame>
      </mc:Choice>
      <mc:Fallback xmlns="">
        <xdr:sp macro="" textlink="">
          <xdr:nvSpPr>
            <xdr:cNvPr id="0" name=""/>
            <xdr:cNvSpPr>
              <a:spLocks noTextEdit="1"/>
            </xdr:cNvSpPr>
          </xdr:nvSpPr>
          <xdr:spPr>
            <a:xfrm>
              <a:off x="3162300" y="50800"/>
              <a:ext cx="2305050" cy="133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228600</xdr:colOff>
      <xdr:row>29</xdr:row>
      <xdr:rowOff>177800</xdr:rowOff>
    </xdr:from>
    <xdr:to>
      <xdr:col>15</xdr:col>
      <xdr:colOff>88900</xdr:colOff>
      <xdr:row>48</xdr:row>
      <xdr:rowOff>127000</xdr:rowOff>
    </xdr:to>
    <xdr:graphicFrame macro="">
      <xdr:nvGraphicFramePr>
        <xdr:cNvPr id="2" name="Chart 1">
          <a:extLst>
            <a:ext uri="{FF2B5EF4-FFF2-40B4-BE49-F238E27FC236}">
              <a16:creationId xmlns:a16="http://schemas.microsoft.com/office/drawing/2014/main" id="{ADFD87B9-F435-4E21-B8A8-CEE3DE3EC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127000</xdr:colOff>
      <xdr:row>29</xdr:row>
      <xdr:rowOff>171450</xdr:rowOff>
    </xdr:from>
    <xdr:to>
      <xdr:col>8</xdr:col>
      <xdr:colOff>114300</xdr:colOff>
      <xdr:row>48</xdr:row>
      <xdr:rowOff>152400</xdr:rowOff>
    </xdr:to>
    <xdr:graphicFrame macro="">
      <xdr:nvGraphicFramePr>
        <xdr:cNvPr id="3" name="Chart 2">
          <a:extLst>
            <a:ext uri="{FF2B5EF4-FFF2-40B4-BE49-F238E27FC236}">
              <a16:creationId xmlns:a16="http://schemas.microsoft.com/office/drawing/2014/main" id="{88D139B3-D3B9-4DC5-8548-44335002B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222250</xdr:colOff>
      <xdr:row>9</xdr:row>
      <xdr:rowOff>171450</xdr:rowOff>
    </xdr:from>
    <xdr:to>
      <xdr:col>15</xdr:col>
      <xdr:colOff>63500</xdr:colOff>
      <xdr:row>29</xdr:row>
      <xdr:rowOff>38100</xdr:rowOff>
    </xdr:to>
    <xdr:graphicFrame macro="">
      <xdr:nvGraphicFramePr>
        <xdr:cNvPr id="5" name="Chart 4">
          <a:extLst>
            <a:ext uri="{FF2B5EF4-FFF2-40B4-BE49-F238E27FC236}">
              <a16:creationId xmlns:a16="http://schemas.microsoft.com/office/drawing/2014/main" id="{A940F484-0673-4BFF-9137-5C21C0154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9</xdr:row>
      <xdr:rowOff>177800</xdr:rowOff>
    </xdr:from>
    <xdr:to>
      <xdr:col>8</xdr:col>
      <xdr:colOff>120650</xdr:colOff>
      <xdr:row>29</xdr:row>
      <xdr:rowOff>41276</xdr:rowOff>
    </xdr:to>
    <xdr:graphicFrame macro="">
      <xdr:nvGraphicFramePr>
        <xdr:cNvPr id="6" name="Chart 5">
          <a:extLst>
            <a:ext uri="{FF2B5EF4-FFF2-40B4-BE49-F238E27FC236}">
              <a16:creationId xmlns:a16="http://schemas.microsoft.com/office/drawing/2014/main" id="{DFC55DB8-2D53-416B-9FB7-627B93523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527050</xdr:colOff>
      <xdr:row>49</xdr:row>
      <xdr:rowOff>88900</xdr:rowOff>
    </xdr:from>
    <xdr:to>
      <xdr:col>12</xdr:col>
      <xdr:colOff>279400</xdr:colOff>
      <xdr:row>70</xdr:row>
      <xdr:rowOff>165100</xdr:rowOff>
    </xdr:to>
    <xdr:graphicFrame macro="">
      <xdr:nvGraphicFramePr>
        <xdr:cNvPr id="7" name="Chart 6">
          <a:extLst>
            <a:ext uri="{FF2B5EF4-FFF2-40B4-BE49-F238E27FC236}">
              <a16:creationId xmlns:a16="http://schemas.microsoft.com/office/drawing/2014/main" id="{FCC91B50-BF62-49E7-B608-3EA87FF88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yush%20Donga\Downloads\Final-project-Dashboard.xlsx" TargetMode="External"/><Relationship Id="rId1" Type="http://schemas.openxmlformats.org/officeDocument/2006/relationships/externalLinkPath" Target="file:///C:\Users\Ayush%20Donga\Downloads\Final-project-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Linear Regression"/>
      <sheetName val="Pivot Table"/>
      <sheetName val="Data"/>
      <sheetName val="Scenario Summary"/>
      <sheetName val="Analysis"/>
    </sheetNames>
    <sheetDataSet>
      <sheetData sheetId="0">
        <row r="13">
          <cell r="X13" t="str">
            <v>Jan</v>
          </cell>
        </row>
      </sheetData>
      <sheetData sheetId="1"/>
      <sheetData sheetId="2"/>
      <sheetData sheetId="3">
        <row r="2">
          <cell r="B2">
            <v>45393</v>
          </cell>
        </row>
        <row r="3">
          <cell r="B3">
            <v>45396</v>
          </cell>
        </row>
        <row r="4">
          <cell r="B4">
            <v>45399</v>
          </cell>
        </row>
        <row r="5">
          <cell r="B5">
            <v>45400</v>
          </cell>
        </row>
        <row r="6">
          <cell r="B6">
            <v>45400</v>
          </cell>
        </row>
        <row r="7">
          <cell r="B7">
            <v>45403</v>
          </cell>
        </row>
        <row r="8">
          <cell r="B8">
            <v>45403</v>
          </cell>
        </row>
        <row r="9">
          <cell r="B9">
            <v>45403</v>
          </cell>
        </row>
        <row r="10">
          <cell r="B10">
            <v>45405</v>
          </cell>
        </row>
        <row r="11">
          <cell r="B11">
            <v>45408</v>
          </cell>
        </row>
        <row r="12">
          <cell r="B12">
            <v>45408</v>
          </cell>
        </row>
        <row r="13">
          <cell r="B13">
            <v>45408</v>
          </cell>
        </row>
        <row r="14">
          <cell r="B14">
            <v>45408</v>
          </cell>
        </row>
        <row r="15">
          <cell r="B15">
            <v>45409</v>
          </cell>
        </row>
        <row r="16">
          <cell r="B16">
            <v>45409</v>
          </cell>
        </row>
        <row r="17">
          <cell r="B17">
            <v>45409</v>
          </cell>
        </row>
        <row r="18">
          <cell r="B18">
            <v>45410</v>
          </cell>
        </row>
        <row r="19">
          <cell r="B19">
            <v>45410</v>
          </cell>
        </row>
        <row r="20">
          <cell r="B20">
            <v>45410</v>
          </cell>
        </row>
        <row r="21">
          <cell r="B21">
            <v>45410</v>
          </cell>
        </row>
        <row r="22">
          <cell r="B22">
            <v>45412</v>
          </cell>
        </row>
        <row r="23">
          <cell r="B23">
            <v>45413</v>
          </cell>
        </row>
        <row r="24">
          <cell r="B24">
            <v>45415</v>
          </cell>
        </row>
        <row r="25">
          <cell r="B25">
            <v>45416</v>
          </cell>
        </row>
        <row r="26">
          <cell r="B26">
            <v>45422</v>
          </cell>
        </row>
        <row r="27">
          <cell r="B27">
            <v>45424</v>
          </cell>
        </row>
        <row r="28">
          <cell r="B28">
            <v>45424</v>
          </cell>
        </row>
        <row r="29">
          <cell r="B29">
            <v>45424</v>
          </cell>
        </row>
        <row r="30">
          <cell r="B30">
            <v>45425</v>
          </cell>
        </row>
        <row r="31">
          <cell r="B31">
            <v>45427</v>
          </cell>
        </row>
        <row r="32">
          <cell r="B32">
            <v>45427</v>
          </cell>
        </row>
        <row r="33">
          <cell r="B33">
            <v>45428</v>
          </cell>
        </row>
        <row r="34">
          <cell r="B34">
            <v>45430</v>
          </cell>
        </row>
        <row r="35">
          <cell r="B35">
            <v>45432</v>
          </cell>
        </row>
        <row r="36">
          <cell r="B36">
            <v>45434</v>
          </cell>
        </row>
        <row r="37">
          <cell r="B37">
            <v>45435</v>
          </cell>
        </row>
        <row r="38">
          <cell r="B38">
            <v>45438</v>
          </cell>
        </row>
        <row r="39">
          <cell r="B39">
            <v>45440</v>
          </cell>
        </row>
        <row r="40">
          <cell r="B40">
            <v>45441</v>
          </cell>
        </row>
        <row r="41">
          <cell r="B41">
            <v>45443</v>
          </cell>
        </row>
        <row r="42">
          <cell r="B42">
            <v>45444</v>
          </cell>
        </row>
        <row r="43">
          <cell r="B43">
            <v>45444</v>
          </cell>
        </row>
        <row r="44">
          <cell r="B44">
            <v>45446</v>
          </cell>
        </row>
        <row r="45">
          <cell r="B45">
            <v>45449</v>
          </cell>
        </row>
        <row r="46">
          <cell r="B46">
            <v>45449</v>
          </cell>
        </row>
        <row r="47">
          <cell r="B47">
            <v>45450</v>
          </cell>
        </row>
        <row r="48">
          <cell r="B48">
            <v>45452</v>
          </cell>
        </row>
        <row r="49">
          <cell r="B49">
            <v>45456</v>
          </cell>
        </row>
        <row r="50">
          <cell r="B50">
            <v>45459</v>
          </cell>
        </row>
        <row r="51">
          <cell r="B51">
            <v>45459</v>
          </cell>
        </row>
        <row r="52">
          <cell r="B52">
            <v>45459</v>
          </cell>
        </row>
        <row r="53">
          <cell r="B53">
            <v>45460</v>
          </cell>
        </row>
        <row r="54">
          <cell r="B54">
            <v>45460</v>
          </cell>
        </row>
        <row r="55">
          <cell r="B55">
            <v>45468</v>
          </cell>
        </row>
        <row r="56">
          <cell r="B56">
            <v>45469</v>
          </cell>
        </row>
        <row r="57">
          <cell r="B57">
            <v>45469</v>
          </cell>
        </row>
        <row r="58">
          <cell r="B58">
            <v>45471</v>
          </cell>
        </row>
        <row r="59">
          <cell r="B59">
            <v>45471</v>
          </cell>
        </row>
        <row r="60">
          <cell r="B60">
            <v>45472</v>
          </cell>
        </row>
        <row r="61">
          <cell r="B61">
            <v>45474</v>
          </cell>
        </row>
        <row r="62">
          <cell r="B62">
            <v>45475</v>
          </cell>
        </row>
        <row r="63">
          <cell r="B63">
            <v>45476</v>
          </cell>
        </row>
        <row r="64">
          <cell r="B64">
            <v>45476</v>
          </cell>
        </row>
        <row r="65">
          <cell r="B65">
            <v>45481</v>
          </cell>
        </row>
        <row r="66">
          <cell r="B66">
            <v>45481</v>
          </cell>
        </row>
        <row r="67">
          <cell r="B67">
            <v>45481</v>
          </cell>
        </row>
        <row r="68">
          <cell r="B68">
            <v>45482</v>
          </cell>
        </row>
        <row r="69">
          <cell r="B69">
            <v>45484</v>
          </cell>
        </row>
        <row r="70">
          <cell r="B70">
            <v>45484</v>
          </cell>
        </row>
        <row r="71">
          <cell r="B71">
            <v>45487</v>
          </cell>
        </row>
        <row r="72">
          <cell r="B72">
            <v>45490</v>
          </cell>
        </row>
        <row r="73">
          <cell r="B73">
            <v>45490</v>
          </cell>
        </row>
        <row r="74">
          <cell r="B74">
            <v>45491</v>
          </cell>
        </row>
        <row r="75">
          <cell r="B75">
            <v>45496</v>
          </cell>
        </row>
        <row r="76">
          <cell r="B76">
            <v>45497</v>
          </cell>
        </row>
        <row r="77">
          <cell r="B77">
            <v>45498</v>
          </cell>
        </row>
        <row r="78">
          <cell r="B78">
            <v>45498</v>
          </cell>
        </row>
        <row r="79">
          <cell r="B79">
            <v>45500</v>
          </cell>
        </row>
        <row r="80">
          <cell r="B80">
            <v>45500</v>
          </cell>
        </row>
        <row r="81">
          <cell r="B81">
            <v>45501</v>
          </cell>
        </row>
        <row r="82">
          <cell r="B82">
            <v>45501</v>
          </cell>
        </row>
        <row r="83">
          <cell r="B83">
            <v>45503</v>
          </cell>
        </row>
        <row r="84">
          <cell r="B84">
            <v>45504</v>
          </cell>
        </row>
        <row r="85">
          <cell r="B85">
            <v>45509</v>
          </cell>
        </row>
        <row r="86">
          <cell r="B86">
            <v>45510</v>
          </cell>
        </row>
        <row r="87">
          <cell r="B87">
            <v>45513</v>
          </cell>
        </row>
        <row r="88">
          <cell r="B88">
            <v>45515</v>
          </cell>
        </row>
        <row r="89">
          <cell r="B89">
            <v>45517</v>
          </cell>
        </row>
        <row r="90">
          <cell r="B90">
            <v>45517</v>
          </cell>
        </row>
        <row r="91">
          <cell r="B91">
            <v>45517</v>
          </cell>
        </row>
        <row r="92">
          <cell r="B92">
            <v>45517</v>
          </cell>
        </row>
        <row r="93">
          <cell r="B93">
            <v>45519</v>
          </cell>
        </row>
        <row r="94">
          <cell r="B94">
            <v>45522</v>
          </cell>
        </row>
        <row r="95">
          <cell r="B95">
            <v>45523</v>
          </cell>
        </row>
        <row r="96">
          <cell r="B96">
            <v>45523</v>
          </cell>
        </row>
        <row r="97">
          <cell r="B97">
            <v>45526</v>
          </cell>
        </row>
        <row r="98">
          <cell r="B98">
            <v>45528</v>
          </cell>
        </row>
        <row r="99">
          <cell r="B99">
            <v>45528</v>
          </cell>
        </row>
        <row r="100">
          <cell r="B100">
            <v>45532</v>
          </cell>
        </row>
        <row r="101">
          <cell r="B101">
            <v>45532</v>
          </cell>
        </row>
        <row r="102">
          <cell r="B102">
            <v>45534</v>
          </cell>
        </row>
        <row r="103">
          <cell r="B103">
            <v>45537</v>
          </cell>
        </row>
        <row r="104">
          <cell r="B104">
            <v>45537</v>
          </cell>
        </row>
        <row r="105">
          <cell r="B105">
            <v>45538</v>
          </cell>
        </row>
        <row r="106">
          <cell r="B106">
            <v>45541</v>
          </cell>
        </row>
        <row r="107">
          <cell r="B107">
            <v>45544</v>
          </cell>
        </row>
        <row r="108">
          <cell r="B108">
            <v>45544</v>
          </cell>
        </row>
        <row r="109">
          <cell r="B109">
            <v>45545</v>
          </cell>
        </row>
        <row r="110">
          <cell r="B110">
            <v>45547</v>
          </cell>
        </row>
        <row r="111">
          <cell r="B111">
            <v>45548</v>
          </cell>
        </row>
        <row r="112">
          <cell r="B112">
            <v>45550</v>
          </cell>
        </row>
        <row r="113">
          <cell r="B113">
            <v>45551</v>
          </cell>
        </row>
        <row r="114">
          <cell r="B114">
            <v>45551</v>
          </cell>
        </row>
        <row r="115">
          <cell r="B115">
            <v>45554</v>
          </cell>
        </row>
        <row r="116">
          <cell r="B116">
            <v>45554</v>
          </cell>
        </row>
        <row r="117">
          <cell r="B117">
            <v>45554</v>
          </cell>
        </row>
        <row r="118">
          <cell r="B118">
            <v>45559</v>
          </cell>
        </row>
        <row r="119">
          <cell r="B119">
            <v>45560</v>
          </cell>
        </row>
        <row r="120">
          <cell r="B120">
            <v>45563</v>
          </cell>
        </row>
        <row r="121">
          <cell r="B121">
            <v>45564</v>
          </cell>
        </row>
        <row r="122">
          <cell r="B122">
            <v>45566</v>
          </cell>
        </row>
        <row r="123">
          <cell r="B123">
            <v>45572</v>
          </cell>
        </row>
        <row r="124">
          <cell r="B124">
            <v>45572</v>
          </cell>
        </row>
        <row r="125">
          <cell r="B125">
            <v>45573</v>
          </cell>
        </row>
        <row r="126">
          <cell r="B126">
            <v>45573</v>
          </cell>
        </row>
        <row r="127">
          <cell r="B127">
            <v>45576</v>
          </cell>
        </row>
        <row r="128">
          <cell r="B128">
            <v>45579</v>
          </cell>
        </row>
        <row r="129">
          <cell r="B129">
            <v>45581</v>
          </cell>
        </row>
        <row r="130">
          <cell r="B130">
            <v>45581</v>
          </cell>
        </row>
        <row r="131">
          <cell r="B131">
            <v>45581</v>
          </cell>
        </row>
        <row r="132">
          <cell r="B132">
            <v>45583</v>
          </cell>
        </row>
        <row r="133">
          <cell r="B133">
            <v>45586</v>
          </cell>
        </row>
        <row r="134">
          <cell r="B134">
            <v>45588</v>
          </cell>
        </row>
        <row r="135">
          <cell r="B135">
            <v>45588</v>
          </cell>
        </row>
        <row r="136">
          <cell r="B136">
            <v>45589</v>
          </cell>
        </row>
        <row r="137">
          <cell r="B137">
            <v>45592</v>
          </cell>
        </row>
        <row r="138">
          <cell r="B138">
            <v>45597</v>
          </cell>
        </row>
        <row r="139">
          <cell r="B139">
            <v>45600</v>
          </cell>
        </row>
        <row r="140">
          <cell r="B140">
            <v>45603</v>
          </cell>
        </row>
        <row r="141">
          <cell r="B141">
            <v>45604</v>
          </cell>
        </row>
        <row r="142">
          <cell r="B142">
            <v>45605</v>
          </cell>
        </row>
        <row r="143">
          <cell r="B143">
            <v>45607</v>
          </cell>
        </row>
        <row r="144">
          <cell r="B144">
            <v>45607</v>
          </cell>
        </row>
        <row r="145">
          <cell r="B145">
            <v>45607</v>
          </cell>
        </row>
        <row r="146">
          <cell r="B146">
            <v>45608</v>
          </cell>
        </row>
        <row r="147">
          <cell r="B147">
            <v>45608</v>
          </cell>
        </row>
        <row r="148">
          <cell r="B148">
            <v>45613</v>
          </cell>
        </row>
        <row r="149">
          <cell r="B149">
            <v>45613</v>
          </cell>
        </row>
        <row r="150">
          <cell r="B150">
            <v>45617</v>
          </cell>
        </row>
        <row r="151">
          <cell r="B151">
            <v>45619</v>
          </cell>
        </row>
        <row r="152">
          <cell r="B152">
            <v>45619</v>
          </cell>
        </row>
        <row r="153">
          <cell r="B153">
            <v>45622</v>
          </cell>
        </row>
        <row r="154">
          <cell r="B154">
            <v>45623</v>
          </cell>
        </row>
        <row r="155">
          <cell r="B155">
            <v>45627</v>
          </cell>
        </row>
        <row r="156">
          <cell r="B156">
            <v>45627</v>
          </cell>
        </row>
        <row r="157">
          <cell r="B157">
            <v>45627</v>
          </cell>
        </row>
        <row r="158">
          <cell r="B158">
            <v>45627</v>
          </cell>
        </row>
        <row r="159">
          <cell r="B159">
            <v>45629</v>
          </cell>
        </row>
        <row r="160">
          <cell r="B160">
            <v>45630</v>
          </cell>
        </row>
        <row r="161">
          <cell r="B161">
            <v>45635</v>
          </cell>
        </row>
        <row r="162">
          <cell r="B162">
            <v>45635</v>
          </cell>
        </row>
        <row r="163">
          <cell r="B163">
            <v>45635</v>
          </cell>
        </row>
        <row r="164">
          <cell r="B164">
            <v>45636</v>
          </cell>
        </row>
        <row r="165">
          <cell r="B165">
            <v>45638</v>
          </cell>
        </row>
        <row r="166">
          <cell r="B166">
            <v>45641</v>
          </cell>
        </row>
        <row r="167">
          <cell r="B167">
            <v>45641</v>
          </cell>
        </row>
        <row r="168">
          <cell r="B168">
            <v>45644</v>
          </cell>
        </row>
        <row r="169">
          <cell r="B169">
            <v>45645</v>
          </cell>
        </row>
        <row r="170">
          <cell r="B170">
            <v>45645</v>
          </cell>
        </row>
        <row r="171">
          <cell r="B171">
            <v>45646</v>
          </cell>
        </row>
        <row r="172">
          <cell r="B172">
            <v>45648</v>
          </cell>
        </row>
        <row r="173">
          <cell r="B173">
            <v>45648</v>
          </cell>
        </row>
        <row r="174">
          <cell r="B174">
            <v>45649</v>
          </cell>
        </row>
        <row r="175">
          <cell r="B175">
            <v>45654</v>
          </cell>
        </row>
        <row r="176">
          <cell r="B176">
            <v>45654</v>
          </cell>
        </row>
        <row r="177">
          <cell r="B177">
            <v>45655</v>
          </cell>
        </row>
        <row r="178">
          <cell r="B178">
            <v>45655</v>
          </cell>
        </row>
        <row r="179">
          <cell r="B179">
            <v>45657</v>
          </cell>
        </row>
        <row r="180">
          <cell r="B180">
            <v>45660</v>
          </cell>
        </row>
        <row r="181">
          <cell r="B181">
            <v>45661</v>
          </cell>
        </row>
        <row r="182">
          <cell r="B182">
            <v>45663</v>
          </cell>
        </row>
        <row r="183">
          <cell r="B183">
            <v>45663</v>
          </cell>
        </row>
        <row r="184">
          <cell r="B184">
            <v>45666</v>
          </cell>
        </row>
        <row r="185">
          <cell r="B185">
            <v>45667</v>
          </cell>
        </row>
        <row r="186">
          <cell r="B186">
            <v>45667</v>
          </cell>
        </row>
        <row r="187">
          <cell r="B187">
            <v>45668</v>
          </cell>
        </row>
        <row r="188">
          <cell r="B188">
            <v>45668</v>
          </cell>
        </row>
        <row r="189">
          <cell r="B189">
            <v>45670</v>
          </cell>
        </row>
        <row r="190">
          <cell r="B190">
            <v>45670</v>
          </cell>
        </row>
        <row r="191">
          <cell r="B191">
            <v>45671</v>
          </cell>
        </row>
        <row r="192">
          <cell r="B192">
            <v>45671</v>
          </cell>
        </row>
        <row r="193">
          <cell r="B193">
            <v>45671</v>
          </cell>
        </row>
        <row r="194">
          <cell r="B194">
            <v>45673</v>
          </cell>
        </row>
        <row r="195">
          <cell r="B195">
            <v>45673</v>
          </cell>
        </row>
        <row r="196">
          <cell r="B196">
            <v>45673</v>
          </cell>
        </row>
        <row r="197">
          <cell r="B197">
            <v>45676</v>
          </cell>
        </row>
        <row r="198">
          <cell r="B198">
            <v>45682</v>
          </cell>
        </row>
        <row r="199">
          <cell r="B199">
            <v>45683</v>
          </cell>
        </row>
        <row r="200">
          <cell r="B200">
            <v>45686</v>
          </cell>
        </row>
        <row r="201">
          <cell r="B201">
            <v>45686</v>
          </cell>
        </row>
        <row r="202">
          <cell r="B202">
            <v>45686</v>
          </cell>
        </row>
        <row r="203">
          <cell r="B203">
            <v>45688</v>
          </cell>
        </row>
        <row r="204">
          <cell r="B204">
            <v>45688</v>
          </cell>
        </row>
        <row r="205">
          <cell r="B205">
            <v>45688</v>
          </cell>
        </row>
        <row r="206">
          <cell r="B206">
            <v>45692</v>
          </cell>
        </row>
        <row r="207">
          <cell r="B207">
            <v>45695</v>
          </cell>
        </row>
        <row r="208">
          <cell r="B208">
            <v>45695</v>
          </cell>
        </row>
        <row r="209">
          <cell r="B209">
            <v>45696</v>
          </cell>
        </row>
        <row r="210">
          <cell r="B210">
            <v>45701</v>
          </cell>
        </row>
        <row r="211">
          <cell r="B211">
            <v>45704</v>
          </cell>
        </row>
        <row r="212">
          <cell r="B212">
            <v>45704</v>
          </cell>
        </row>
        <row r="213">
          <cell r="B213">
            <v>45705</v>
          </cell>
        </row>
        <row r="214">
          <cell r="B214">
            <v>45707</v>
          </cell>
        </row>
        <row r="215">
          <cell r="B215">
            <v>45707</v>
          </cell>
        </row>
        <row r="216">
          <cell r="B216">
            <v>45708</v>
          </cell>
        </row>
        <row r="217">
          <cell r="B217">
            <v>45708</v>
          </cell>
        </row>
        <row r="218">
          <cell r="B218">
            <v>45710</v>
          </cell>
        </row>
        <row r="219">
          <cell r="B219">
            <v>45710</v>
          </cell>
        </row>
        <row r="220">
          <cell r="B220">
            <v>45711</v>
          </cell>
        </row>
        <row r="221">
          <cell r="B221">
            <v>45711</v>
          </cell>
        </row>
        <row r="222">
          <cell r="B222">
            <v>45711</v>
          </cell>
        </row>
        <row r="223">
          <cell r="B223">
            <v>45712</v>
          </cell>
        </row>
        <row r="224">
          <cell r="B224">
            <v>45715</v>
          </cell>
        </row>
        <row r="225">
          <cell r="B225">
            <v>45715</v>
          </cell>
        </row>
        <row r="226">
          <cell r="B226">
            <v>45718</v>
          </cell>
        </row>
        <row r="227">
          <cell r="B227">
            <v>45720</v>
          </cell>
        </row>
        <row r="228">
          <cell r="B228">
            <v>45721</v>
          </cell>
        </row>
        <row r="229">
          <cell r="B229">
            <v>45723</v>
          </cell>
        </row>
        <row r="230">
          <cell r="B230">
            <v>45723</v>
          </cell>
        </row>
        <row r="231">
          <cell r="B231">
            <v>45724</v>
          </cell>
        </row>
        <row r="232">
          <cell r="B232">
            <v>45724</v>
          </cell>
        </row>
        <row r="233">
          <cell r="B233">
            <v>45724</v>
          </cell>
        </row>
        <row r="234">
          <cell r="B234">
            <v>45726</v>
          </cell>
        </row>
        <row r="235">
          <cell r="B235">
            <v>45734</v>
          </cell>
        </row>
        <row r="236">
          <cell r="B236">
            <v>45737</v>
          </cell>
        </row>
        <row r="237">
          <cell r="B237">
            <v>45737</v>
          </cell>
        </row>
        <row r="238">
          <cell r="B238">
            <v>45737</v>
          </cell>
        </row>
        <row r="239">
          <cell r="B239">
            <v>45739</v>
          </cell>
        </row>
        <row r="240">
          <cell r="B240">
            <v>45740</v>
          </cell>
        </row>
        <row r="241">
          <cell r="B241">
            <v>45743</v>
          </cell>
        </row>
        <row r="242">
          <cell r="B242">
            <v>45745</v>
          </cell>
        </row>
        <row r="243">
          <cell r="B243">
            <v>45746</v>
          </cell>
        </row>
        <row r="244">
          <cell r="B244">
            <v>45746</v>
          </cell>
        </row>
        <row r="245">
          <cell r="B245">
            <v>45748</v>
          </cell>
        </row>
        <row r="246">
          <cell r="B246">
            <v>45749</v>
          </cell>
        </row>
        <row r="247">
          <cell r="B247">
            <v>45755</v>
          </cell>
        </row>
        <row r="248">
          <cell r="B248">
            <v>45756</v>
          </cell>
        </row>
        <row r="249">
          <cell r="B249">
            <v>45758</v>
          </cell>
        </row>
        <row r="250">
          <cell r="B250">
            <v>45758</v>
          </cell>
        </row>
        <row r="251">
          <cell r="B251">
            <v>45758</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Donga" refreshedDate="46303.500297453706" createdVersion="8" refreshedVersion="8" minRefreshableVersion="3" recordCount="250" xr:uid="{249587FA-570D-4D09-84B0-6EA7AF7B36B9}">
  <cacheSource type="worksheet">
    <worksheetSource name="data"/>
  </cacheSource>
  <cacheFields count="20">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164">
      <sharedItems containsSemiMixedTypes="0" containsString="0" containsNumber="1" minValue="59.99" maxValue="4499.95"/>
    </cacheField>
    <cacheField name="Customer relationship" numFmtId="0">
      <sharedItems containsSemiMixedTypes="0" containsString="0" containsNumber="1" containsInteger="1" minValue="2" maxValue="5"/>
    </cacheField>
    <cacheField name="Timestamp" numFmtId="22">
      <sharedItems containsSemiMixedTypes="0" containsNonDate="0" containsDate="1" containsString="0" minDate="2026-10-08T11:58:49" maxDate="2026-10-08T11:58:49"/>
    </cacheField>
    <cacheField name="Abbreviation_Customer_Name" numFmtId="0">
      <sharedItems/>
    </cacheField>
    <cacheField name="Eomonth of sales" numFmtId="14">
      <sharedItems containsSemiMixedTypes="0" containsNonDate="0" containsDate="1" containsString="0" minDate="2024-04-30T00:00:00" maxDate="2025-05-01T00:00:00"/>
    </cacheField>
    <cacheField name="Growth %" numFmtId="9">
      <sharedItems containsSemiMixedTypes="0" containsString="0" containsNumber="1" minValue="0.1" maxValue="0.1"/>
    </cacheField>
    <cacheField name="Projected Sales" numFmtId="164">
      <sharedItems containsSemiMixedTypes="0" containsString="0" containsNumber="1" minValue="65.989000000000004" maxValue="4949.9450000000006" count="44">
        <n v="824.9670000000001"/>
        <n v="197.96700000000001"/>
        <n v="824.94500000000016"/>
        <n v="131.97800000000001"/>
        <n v="2969.9670000000006"/>
        <n v="164.98900000000003"/>
        <n v="494.9670000000001"/>
        <n v="2309.9670000000006"/>
        <n v="989.98900000000015"/>
        <n v="659.95600000000013"/>
        <n v="1539.9780000000001"/>
        <n v="3959.9560000000006"/>
        <n v="3849.9450000000002"/>
        <n v="3079.9560000000001"/>
        <n v="1099.9560000000001"/>
        <n v="1319.9560000000001"/>
        <n v="1374.9450000000002"/>
        <n v="1649.9450000000002"/>
        <n v="263.96699999999998"/>
        <n v="494.94500000000005"/>
        <n v="263.95600000000002"/>
        <n v="1099.9450000000002"/>
        <n v="329.97800000000007"/>
        <n v="989.9670000000001"/>
        <n v="659.9670000000001"/>
        <n v="296.96699999999998"/>
        <n v="87.989000000000004"/>
        <n v="98.989000000000004"/>
        <n v="197.97800000000001"/>
        <n v="4949.9450000000006"/>
        <n v="65.989000000000004"/>
        <n v="659.97800000000007"/>
        <n v="395.95600000000002"/>
        <n v="439.94500000000005"/>
        <n v="329.98900000000003"/>
        <n v="439.97800000000007"/>
        <n v="549.97800000000007"/>
        <n v="879.95600000000013"/>
        <n v="769.98900000000003"/>
        <n v="274.98900000000003"/>
        <n v="351.95600000000002"/>
        <n v="219.98900000000003"/>
        <n v="329.94499999999999"/>
        <n v="1979.978000000000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Donga" refreshedDate="46303.666606828701" backgroundQuery="1" createdVersion="8" refreshedVersion="8" minRefreshableVersion="3" recordCount="0" supportSubquery="1" supportAdvancedDrill="1" xr:uid="{D7C607AB-2A1A-4DE7-AABE-1A643F45761F}">
  <cacheSource type="external" connectionId="1"/>
  <cacheFields count="2">
    <cacheField name="[data].[Sales Month].[Sales Month]" caption="Sales Month" numFmtId="0" hierarchy="20"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ata].[Sales Month].&amp;[1]"/>
            <x15:cachedUniqueName index="1" name="[data].[Sales Month].&amp;[2]"/>
            <x15:cachedUniqueName index="2" name="[data].[Sales Month].&amp;[3]"/>
            <x15:cachedUniqueName index="3" name="[data].[Sales Month].&amp;[4]"/>
            <x15:cachedUniqueName index="4" name="[data].[Sales Month].&amp;[5]"/>
            <x15:cachedUniqueName index="5" name="[data].[Sales Month].&amp;[6]"/>
            <x15:cachedUniqueName index="6" name="[data].[Sales Month].&amp;[7]"/>
            <x15:cachedUniqueName index="7" name="[data].[Sales Month].&amp;[8]"/>
            <x15:cachedUniqueName index="8" name="[data].[Sales Month].&amp;[9]"/>
            <x15:cachedUniqueName index="9" name="[data].[Sales Month].&amp;[10]"/>
            <x15:cachedUniqueName index="10" name="[data].[Sales Month].&amp;[11]"/>
            <x15:cachedUniqueName index="11" name="[data].[Sales Month].&amp;[12]"/>
          </x15:cachedUniqueNames>
        </ext>
      </extLst>
    </cacheField>
    <cacheField name="[Measures].[Sum of Total_Amount]" caption="Sum of Total_Amount" numFmtId="0" hierarchy="23" level="32767"/>
  </cacheFields>
  <cacheHierarchies count="24">
    <cacheHierarchy uniqueName="[data].[Transaction_ID]" caption="Transaction_ID" attribute="1" defaultMemberUniqueName="[data].[Transaction_ID].[All]" allUniqueName="[data].[Transaction_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Customer_ID]" caption="Customer_ID" attribute="1" defaultMemberUniqueName="[data].[Customer_ID].[All]" allUniqueName="[data].[Customer_ID].[All]" dimensionUniqueName="[data]" displayFolder="" count="2" memberValueDatatype="130" unbalanced="0"/>
    <cacheHierarchy uniqueName="[data].[Customer_Name]" caption="Customer_Name" attribute="1" defaultMemberUniqueName="[data].[Customer_Name].[All]" allUniqueName="[data].[Customer_Name].[All]" dimensionUniqueName="[data]" displayFolder="" count="2" memberValueDatatype="130" unbalanced="0"/>
    <cacheHierarchy uniqueName="[data].[Product_ID]" caption="Product_ID" attribute="1" defaultMemberUniqueName="[data].[Product_ID].[All]" allUniqueName="[data].[Product_ID].[All]" dimensionUniqueName="[data]" displayFolder="" count="2" memberValueDatatype="130" unbalanced="0"/>
    <cacheHierarchy uniqueName="[data].[Product_Name]" caption="Product_Name" attribute="1" defaultMemberUniqueName="[data].[Product_Name].[All]" allUniqueName="[data].[Product_Nam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cacheHierarchy uniqueName="[data].[Quantity]" caption="Quantity" attribute="1" defaultMemberUniqueName="[data].[Quantity].[All]" allUniqueName="[data].[Quantity].[All]" dimensionUniqueName="[data]" displayFolder="" count="2" memberValueDatatype="20" unbalanced="0"/>
    <cacheHierarchy uniqueName="[data].[Unit_Price]" caption="Unit_Price" attribute="1" defaultMemberUniqueName="[data].[Unit_Price].[All]" allUniqueName="[data].[Unit_Price].[All]" dimensionUniqueName="[data]" displayFolder="" count="2" memberValueDatatype="5" unbalanced="0"/>
    <cacheHierarchy uniqueName="[data].[Payment_Method]" caption="Payment_Method" attribute="1" defaultMemberUniqueName="[data].[Payment_Method].[All]" allUniqueName="[data].[Payment_Method].[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Customer_Segment]" caption="Customer_Segment" attribute="1" defaultMemberUniqueName="[data].[Customer_Segment].[All]" allUniqueName="[data].[Customer_Segment].[All]" dimensionUniqueName="[data]" displayFolder="" count="2" memberValueDatatype="130" unbalanced="0"/>
    <cacheHierarchy uniqueName="[data].[Customer_Since]" caption="Customer_Since" attribute="1" time="1" defaultMemberUniqueName="[data].[Customer_Since].[All]" allUniqueName="[data].[Customer_Since].[All]" dimensionUniqueName="[data]" displayFolder="" count="2" memberValueDatatype="7" unbalanced="0"/>
    <cacheHierarchy uniqueName="[data].[Total_Amount]" caption="Total_Amount" attribute="1" defaultMemberUniqueName="[data].[Total_Amount].[All]" allUniqueName="[data].[Total_Amount].[All]" dimensionUniqueName="[data]" displayFolder="" count="2" memberValueDatatype="5" unbalanced="0"/>
    <cacheHierarchy uniqueName="[data].[Customer relationship]" caption="Customer relationship" attribute="1" defaultMemberUniqueName="[data].[Customer relationship].[All]" allUniqueName="[data].[Customer relationship].[All]" dimensionUniqueName="[data]" displayFolder="" count="2" memberValueDatatype="20" unbalanced="0"/>
    <cacheHierarchy uniqueName="[data].[Timestamp]" caption="Timestamp" attribute="1" time="1" defaultMemberUniqueName="[data].[Timestamp].[All]" allUniqueName="[data].[Timestamp].[All]" dimensionUniqueName="[data]" displayFolder="" count="2" memberValueDatatype="7" unbalanced="0"/>
    <cacheHierarchy uniqueName="[data].[Abbreviation_Customer_Name]" caption="Abbreviation_Customer_Name" attribute="1" defaultMemberUniqueName="[data].[Abbreviation_Customer_Name].[All]" allUniqueName="[data].[Abbreviation_Customer_Name].[All]" dimensionUniqueName="[data]" displayFolder="" count="2" memberValueDatatype="130" unbalanced="0"/>
    <cacheHierarchy uniqueName="[data].[Eomonth of sales]" caption="Eomonth of sales" attribute="1" time="1" defaultMemberUniqueName="[data].[Eomonth of sales].[All]" allUniqueName="[data].[Eomonth of sales].[All]" dimensionUniqueName="[data]" displayFolder="" count="2" memberValueDatatype="7" unbalanced="0"/>
    <cacheHierarchy uniqueName="[data].[Growth %]" caption="Growth %" attribute="1" defaultMemberUniqueName="[data].[Growth %].[All]" allUniqueName="[data].[Growth %].[All]" dimensionUniqueName="[data]" displayFolder="" count="2" memberValueDatatype="5" unbalanced="0"/>
    <cacheHierarchy uniqueName="[data].[Projected Sales]" caption="Projected Sales" attribute="1" defaultMemberUniqueName="[data].[Projected Sales].[All]" allUniqueName="[data].[Projected Sales].[All]" dimensionUniqueName="[data]" displayFolder="" count="2" memberValueDatatype="5" unbalanced="0"/>
    <cacheHierarchy uniqueName="[data].[Sales Month]" caption="Sales Month" attribute="1" defaultMemberUniqueName="[data].[Sales Month].[All]" allUniqueName="[data].[Sales Month].[All]" dimensionUniqueName="[data]" displayFolder="" count="2" memberValueDatatype="20" unbalanced="0">
      <fieldsUsage count="2">
        <fieldUsage x="-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_Amount]" caption="Sum of Total_Amount" measure="1" displayFolder="" measureGroup="data"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ush Donga" refreshedDate="46303.511022685183" backgroundQuery="1" createdVersion="3" refreshedVersion="8" minRefreshableVersion="3" recordCount="0" supportSubquery="1" supportAdvancedDrill="1" xr:uid="{3E2CEF81-CC40-4F90-83DC-F6EF0C40475C}">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data].[Transaction_ID]" caption="Transaction_ID" attribute="1" defaultMemberUniqueName="[data].[Transaction_ID].[All]" allUniqueName="[data].[Transaction_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Customer_ID]" caption="Customer_ID" attribute="1" defaultMemberUniqueName="[data].[Customer_ID].[All]" allUniqueName="[data].[Customer_ID].[All]" dimensionUniqueName="[data]" displayFolder="" count="0" memberValueDatatype="130" unbalanced="0"/>
    <cacheHierarchy uniqueName="[data].[Customer_Name]" caption="Customer_Name" attribute="1" defaultMemberUniqueName="[data].[Customer_Name].[All]" allUniqueName="[data].[Customer_Name].[All]" dimensionUniqueName="[data]" displayFolder="" count="0" memberValueDatatype="130" unbalanced="0"/>
    <cacheHierarchy uniqueName="[data].[Product_ID]" caption="Product_ID" attribute="1" defaultMemberUniqueName="[data].[Product_ID].[All]" allUniqueName="[data].[Product_ID].[All]" dimensionUniqueName="[data]" displayFolder="" count="0" memberValueDatatype="130" unbalanced="0"/>
    <cacheHierarchy uniqueName="[data].[Product_Name]" caption="Product_Name" attribute="1" defaultMemberUniqueName="[data].[Product_Name].[All]" allUniqueName="[data].[Product_Nam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_Price]" caption="Unit_Price" attribute="1" defaultMemberUniqueName="[data].[Unit_Price].[All]" allUniqueName="[data].[Unit_Price].[All]" dimensionUniqueName="[data]" displayFolder="" count="0" memberValueDatatype="5" unbalanced="0"/>
    <cacheHierarchy uniqueName="[data].[Payment_Method]" caption="Payment_Method" attribute="1" defaultMemberUniqueName="[data].[Payment_Method].[All]" allUniqueName="[data].[Payment_Method].[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Customer_Segment]" caption="Customer_Segment" attribute="1" defaultMemberUniqueName="[data].[Customer_Segment].[All]" allUniqueName="[data].[Customer_Segment].[All]" dimensionUniqueName="[data]" displayFolder="" count="0" memberValueDatatype="130" unbalanced="0"/>
    <cacheHierarchy uniqueName="[data].[Customer_Since]" caption="Customer_Since" attribute="1" time="1" defaultMemberUniqueName="[data].[Customer_Since].[All]" allUniqueName="[data].[Customer_Since].[All]" dimensionUniqueName="[data]" displayFolder="" count="0" memberValueDatatype="7" unbalanced="0"/>
    <cacheHierarchy uniqueName="[data].[Total_Amount]" caption="Total_Amount" attribute="1" defaultMemberUniqueName="[data].[Total_Amount].[All]" allUniqueName="[data].[Total_Amount].[All]" dimensionUniqueName="[data]" displayFolder="" count="0" memberValueDatatype="5" unbalanced="0"/>
    <cacheHierarchy uniqueName="[data].[Customer relationship]" caption="Customer relationship" attribute="1" defaultMemberUniqueName="[data].[Customer relationship].[All]" allUniqueName="[data].[Customer relationship].[All]" dimensionUniqueName="[data]" displayFolder="" count="0" memberValueDatatype="20" unbalanced="0"/>
    <cacheHierarchy uniqueName="[data].[Timestamp]" caption="Timestamp" attribute="1" time="1" defaultMemberUniqueName="[data].[Timestamp].[All]" allUniqueName="[data].[Timestamp].[All]" dimensionUniqueName="[data]" displayFolder="" count="0" memberValueDatatype="7" unbalanced="0"/>
    <cacheHierarchy uniqueName="[data].[Abbreviation_Customer_Name]" caption="Abbreviation_Customer_Name" attribute="1" defaultMemberUniqueName="[data].[Abbreviation_Customer_Name].[All]" allUniqueName="[data].[Abbreviation_Customer_Name].[All]" dimensionUniqueName="[data]" displayFolder="" count="0" memberValueDatatype="130" unbalanced="0"/>
    <cacheHierarchy uniqueName="[data].[Eomonth of sales]" caption="Eomonth of sales" attribute="1" time="1" defaultMemberUniqueName="[data].[Eomonth of sales].[All]" allUniqueName="[data].[Eomonth of sales].[All]" dimensionUniqueName="[data]" displayFolder="" count="0" memberValueDatatype="7" unbalanced="0"/>
    <cacheHierarchy uniqueName="[data].[Growth %]" caption="Growth %" attribute="1" defaultMemberUniqueName="[data].[Growth %].[All]" allUniqueName="[data].[Growth %].[All]" dimensionUniqueName="[data]" displayFolder="" count="0" memberValueDatatype="5" unbalanced="0"/>
    <cacheHierarchy uniqueName="[data].[Projected Sales]" caption="Projected Sales" attribute="1" defaultMemberUniqueName="[data].[Projected Sales].[All]" allUniqueName="[data].[Projected Sales].[All]" dimensionUniqueName="[data]" displayFolder="" count="0" memberValueDatatype="5" unbalanced="0"/>
    <cacheHierarchy uniqueName="[data].[Sales Month]" caption="Sales Month" attribute="1" defaultMemberUniqueName="[data].[Sales Month].[All]" allUniqueName="[data].[Sales Month].[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otal_Amount]" caption="Sum of Total_Amount" measure="1" displayFolder="" measureGroup="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07999187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x v="0"/>
    <x v="0"/>
    <x v="0"/>
    <n v="249.99"/>
    <x v="0"/>
    <x v="0"/>
    <x v="0"/>
    <d v="2021-08-17T00:00:00"/>
    <n v="749.97"/>
    <n v="5"/>
    <d v="2026-10-08T11:58:49"/>
    <s v="PB"/>
    <d v="2024-04-30T00:00:00"/>
    <n v="0.1"/>
    <x v="0"/>
  </r>
  <r>
    <s v="TRX0023"/>
    <d v="2024-04-14T00:00:00"/>
    <s v="CUST013"/>
    <x v="1"/>
    <s v="P009"/>
    <x v="0"/>
    <x v="0"/>
    <x v="0"/>
    <n v="249.99"/>
    <x v="1"/>
    <x v="0"/>
    <x v="1"/>
    <d v="2022-01-14T00:00:00"/>
    <n v="749.97"/>
    <n v="4"/>
    <d v="2026-10-08T11:58:49"/>
    <s v="JJ"/>
    <d v="2024-04-30T00:00:00"/>
    <n v="0.1"/>
    <x v="0"/>
  </r>
  <r>
    <s v="TRX0139"/>
    <d v="2024-04-17T00:00:00"/>
    <s v="CUST021"/>
    <x v="2"/>
    <s v="P005"/>
    <x v="1"/>
    <x v="1"/>
    <x v="0"/>
    <n v="59.99"/>
    <x v="2"/>
    <x v="1"/>
    <x v="2"/>
    <d v="2023-12-02T00:00:00"/>
    <n v="179.97"/>
    <n v="2"/>
    <d v="2026-10-08T11:58:49"/>
    <s v="KS"/>
    <d v="2024-04-30T00:00:00"/>
    <n v="0.1"/>
    <x v="1"/>
  </r>
  <r>
    <s v="TRX0043"/>
    <d v="2024-04-18T00:00:00"/>
    <s v="CUST046"/>
    <x v="3"/>
    <s v="P005"/>
    <x v="1"/>
    <x v="1"/>
    <x v="0"/>
    <n v="59.99"/>
    <x v="0"/>
    <x v="2"/>
    <x v="1"/>
    <d v="2023-07-07T00:00:00"/>
    <n v="179.97"/>
    <n v="3"/>
    <d v="2026-10-08T11:58:49"/>
    <s v="KB"/>
    <d v="2024-04-30T00:00:00"/>
    <n v="0.1"/>
    <x v="1"/>
  </r>
  <r>
    <s v="TRX0212"/>
    <d v="2024-04-18T00:00:00"/>
    <s v="CUST003"/>
    <x v="4"/>
    <s v="P008"/>
    <x v="2"/>
    <x v="2"/>
    <x v="1"/>
    <n v="149.99"/>
    <x v="1"/>
    <x v="2"/>
    <x v="1"/>
    <d v="2024-01-04T00:00:00"/>
    <n v="749.95"/>
    <n v="2"/>
    <d v="2026-10-08T11:58:49"/>
    <s v="MB"/>
    <d v="2024-04-30T00:00:00"/>
    <n v="0.1"/>
    <x v="2"/>
  </r>
  <r>
    <s v="TRX0092"/>
    <d v="2024-04-21T00:00:00"/>
    <s v="CUST024"/>
    <x v="5"/>
    <s v="P005"/>
    <x v="1"/>
    <x v="1"/>
    <x v="2"/>
    <n v="59.99"/>
    <x v="0"/>
    <x v="3"/>
    <x v="2"/>
    <d v="2022-07-04T00:00:00"/>
    <n v="119.98"/>
    <n v="4"/>
    <d v="2026-10-08T11:58:49"/>
    <s v="DN"/>
    <d v="2024-04-30T00:00:00"/>
    <n v="0.1"/>
    <x v="3"/>
  </r>
  <r>
    <s v="TRX0193"/>
    <d v="2024-04-21T00:00:00"/>
    <s v="CUST024"/>
    <x v="5"/>
    <s v="P003"/>
    <x v="3"/>
    <x v="0"/>
    <x v="1"/>
    <n v="149.99"/>
    <x v="1"/>
    <x v="0"/>
    <x v="2"/>
    <d v="2021-08-10T00:00:00"/>
    <n v="749.95"/>
    <n v="5"/>
    <d v="2026-10-08T11:58:49"/>
    <s v="DN"/>
    <d v="2024-04-30T00:00:00"/>
    <n v="0.1"/>
    <x v="2"/>
  </r>
  <r>
    <s v="TRX0240"/>
    <d v="2024-04-21T00:00:00"/>
    <s v="CUST017"/>
    <x v="6"/>
    <s v="P005"/>
    <x v="1"/>
    <x v="1"/>
    <x v="0"/>
    <n v="59.99"/>
    <x v="3"/>
    <x v="1"/>
    <x v="0"/>
    <d v="2023-03-22T00:00:00"/>
    <n v="179.97"/>
    <n v="3"/>
    <d v="2026-10-08T11:58:49"/>
    <s v="CA"/>
    <d v="2024-04-30T00:00:00"/>
    <n v="0.1"/>
    <x v="1"/>
  </r>
  <r>
    <s v="TRX0135"/>
    <d v="2024-04-23T00:00:00"/>
    <s v="CUST009"/>
    <x v="7"/>
    <s v="P001"/>
    <x v="4"/>
    <x v="0"/>
    <x v="0"/>
    <n v="899.99"/>
    <x v="2"/>
    <x v="4"/>
    <x v="2"/>
    <d v="2024-01-08T00:00:00"/>
    <n v="2699.9700000000003"/>
    <n v="2"/>
    <d v="2026-10-08T11:58:49"/>
    <s v="RT"/>
    <d v="2024-04-30T00:00:00"/>
    <n v="0.1"/>
    <x v="4"/>
  </r>
  <r>
    <s v="TRX0185"/>
    <d v="2024-04-26T00:00:00"/>
    <s v="CUST026"/>
    <x v="8"/>
    <s v="P005"/>
    <x v="1"/>
    <x v="1"/>
    <x v="0"/>
    <n v="59.99"/>
    <x v="0"/>
    <x v="3"/>
    <x v="1"/>
    <d v="2023-10-08T00:00:00"/>
    <n v="179.97"/>
    <n v="3"/>
    <d v="2026-10-08T11:58:49"/>
    <s v="KH"/>
    <d v="2024-04-30T00:00:00"/>
    <n v="0.1"/>
    <x v="1"/>
  </r>
  <r>
    <s v="TRX0138"/>
    <d v="2024-04-26T00:00:00"/>
    <s v="CUST022"/>
    <x v="9"/>
    <s v="P008"/>
    <x v="2"/>
    <x v="2"/>
    <x v="3"/>
    <n v="149.99"/>
    <x v="1"/>
    <x v="3"/>
    <x v="2"/>
    <d v="2023-06-26T00:00:00"/>
    <n v="149.99"/>
    <n v="3"/>
    <d v="2026-10-08T11:58:49"/>
    <s v="SG"/>
    <d v="2024-04-30T00:00:00"/>
    <n v="0.1"/>
    <x v="5"/>
  </r>
  <r>
    <s v="TRX0209"/>
    <d v="2024-04-26T00:00:00"/>
    <s v="CUST046"/>
    <x v="3"/>
    <s v="P008"/>
    <x v="2"/>
    <x v="2"/>
    <x v="1"/>
    <n v="149.99"/>
    <x v="3"/>
    <x v="2"/>
    <x v="0"/>
    <d v="2022-09-26T00:00:00"/>
    <n v="749.95"/>
    <n v="4"/>
    <d v="2026-10-08T11:58:49"/>
    <s v="KB"/>
    <d v="2024-04-30T00:00:00"/>
    <n v="0.1"/>
    <x v="2"/>
  </r>
  <r>
    <s v="TRX0246"/>
    <d v="2024-04-26T00:00:00"/>
    <s v="CUST041"/>
    <x v="10"/>
    <s v="P008"/>
    <x v="2"/>
    <x v="2"/>
    <x v="0"/>
    <n v="149.99"/>
    <x v="0"/>
    <x v="2"/>
    <x v="1"/>
    <d v="2022-09-02T00:00:00"/>
    <n v="449.97"/>
    <n v="4"/>
    <d v="2026-10-08T11:58:49"/>
    <s v="PR"/>
    <d v="2024-04-30T00:00:00"/>
    <n v="0.1"/>
    <x v="6"/>
  </r>
  <r>
    <s v="TRX0067"/>
    <d v="2024-04-27T00:00:00"/>
    <s v="CUST043"/>
    <x v="11"/>
    <s v="P005"/>
    <x v="1"/>
    <x v="1"/>
    <x v="0"/>
    <n v="59.99"/>
    <x v="1"/>
    <x v="2"/>
    <x v="2"/>
    <d v="2024-02-29T00:00:00"/>
    <n v="179.97"/>
    <n v="2"/>
    <d v="2026-10-08T11:58:49"/>
    <s v="DG"/>
    <d v="2024-04-30T00:00:00"/>
    <n v="0.1"/>
    <x v="1"/>
  </r>
  <r>
    <s v="TRX0191"/>
    <d v="2024-04-27T00:00:00"/>
    <s v="CUST038"/>
    <x v="12"/>
    <s v="P002"/>
    <x v="5"/>
    <x v="0"/>
    <x v="0"/>
    <n v="699.99"/>
    <x v="1"/>
    <x v="3"/>
    <x v="0"/>
    <d v="2022-01-16T00:00:00"/>
    <n v="2099.9700000000003"/>
    <n v="4"/>
    <d v="2026-10-08T11:58:49"/>
    <s v="MR"/>
    <d v="2024-04-30T00:00:00"/>
    <n v="0.1"/>
    <x v="7"/>
  </r>
  <r>
    <s v="TRX0230"/>
    <d v="2024-04-27T00:00:00"/>
    <s v="CUST027"/>
    <x v="13"/>
    <s v="P001"/>
    <x v="4"/>
    <x v="0"/>
    <x v="3"/>
    <n v="899.99"/>
    <x v="3"/>
    <x v="2"/>
    <x v="2"/>
    <d v="2022-12-25T00:00:00"/>
    <n v="899.99"/>
    <n v="3"/>
    <d v="2026-10-08T11:58:49"/>
    <s v="GA"/>
    <d v="2024-04-30T00:00:00"/>
    <n v="0.1"/>
    <x v="8"/>
  </r>
  <r>
    <s v="TRX0049"/>
    <d v="2024-04-28T00:00:00"/>
    <s v="CUST025"/>
    <x v="14"/>
    <s v="P008"/>
    <x v="2"/>
    <x v="2"/>
    <x v="4"/>
    <n v="149.99"/>
    <x v="3"/>
    <x v="2"/>
    <x v="1"/>
    <d v="2024-03-23T00:00:00"/>
    <n v="599.96"/>
    <n v="2"/>
    <d v="2026-10-08T11:58:49"/>
    <s v="MC"/>
    <d v="2024-04-30T00:00:00"/>
    <n v="0.1"/>
    <x v="9"/>
  </r>
  <r>
    <s v="TRX0134"/>
    <d v="2024-04-28T00:00:00"/>
    <s v="CUST010"/>
    <x v="15"/>
    <s v="P002"/>
    <x v="5"/>
    <x v="0"/>
    <x v="2"/>
    <n v="699.99"/>
    <x v="0"/>
    <x v="2"/>
    <x v="0"/>
    <d v="2022-08-08T00:00:00"/>
    <n v="1399.98"/>
    <n v="4"/>
    <d v="2026-10-08T11:58:49"/>
    <s v="MG"/>
    <d v="2024-04-30T00:00:00"/>
    <n v="0.1"/>
    <x v="10"/>
  </r>
  <r>
    <s v="TRX0122"/>
    <d v="2024-04-28T00:00:00"/>
    <s v="CUST025"/>
    <x v="14"/>
    <s v="P001"/>
    <x v="4"/>
    <x v="0"/>
    <x v="4"/>
    <n v="899.99"/>
    <x v="1"/>
    <x v="3"/>
    <x v="2"/>
    <d v="2024-02-05T00:00:00"/>
    <n v="3599.96"/>
    <n v="2"/>
    <d v="2026-10-08T11:58:49"/>
    <s v="MC"/>
    <d v="2024-04-30T00:00:00"/>
    <n v="0.1"/>
    <x v="11"/>
  </r>
  <r>
    <s v="TRX0222"/>
    <d v="2024-04-28T00:00:00"/>
    <s v="CUST048"/>
    <x v="16"/>
    <s v="P009"/>
    <x v="0"/>
    <x v="0"/>
    <x v="0"/>
    <n v="249.99"/>
    <x v="1"/>
    <x v="2"/>
    <x v="1"/>
    <d v="2023-10-25T00:00:00"/>
    <n v="749.97"/>
    <n v="2"/>
    <d v="2026-10-08T11:58:49"/>
    <s v="VS"/>
    <d v="2024-04-30T00:00:00"/>
    <n v="0.1"/>
    <x v="0"/>
  </r>
  <r>
    <s v="TRX0231"/>
    <d v="2024-04-30T00:00:00"/>
    <s v="CUST018"/>
    <x v="17"/>
    <s v="P002"/>
    <x v="5"/>
    <x v="0"/>
    <x v="1"/>
    <n v="699.99"/>
    <x v="0"/>
    <x v="3"/>
    <x v="0"/>
    <d v="2023-08-29T00:00:00"/>
    <n v="3499.95"/>
    <n v="3"/>
    <d v="2026-10-08T11:58:49"/>
    <s v="BY"/>
    <d v="2024-04-30T00:00:00"/>
    <n v="0.1"/>
    <x v="12"/>
  </r>
  <r>
    <s v="TRX0239"/>
    <d v="2024-05-01T00:00:00"/>
    <s v="CUST012"/>
    <x v="18"/>
    <s v="P002"/>
    <x v="5"/>
    <x v="0"/>
    <x v="4"/>
    <n v="699.99"/>
    <x v="0"/>
    <x v="4"/>
    <x v="2"/>
    <d v="2021-08-01T00:00:00"/>
    <n v="2799.96"/>
    <n v="5"/>
    <d v="2026-10-08T11:58:49"/>
    <s v="PM"/>
    <d v="2024-05-31T00:00:00"/>
    <n v="0.1"/>
    <x v="13"/>
  </r>
  <r>
    <s v="TRX0204"/>
    <d v="2024-05-03T00:00:00"/>
    <s v="CUST044"/>
    <x v="19"/>
    <s v="P009"/>
    <x v="0"/>
    <x v="0"/>
    <x v="4"/>
    <n v="249.99"/>
    <x v="2"/>
    <x v="2"/>
    <x v="2"/>
    <d v="2021-09-29T00:00:00"/>
    <n v="999.96"/>
    <n v="5"/>
    <d v="2026-10-08T11:58:49"/>
    <s v="CP"/>
    <d v="2024-05-31T00:00:00"/>
    <n v="0.1"/>
    <x v="14"/>
  </r>
  <r>
    <s v="TRX0242"/>
    <d v="2024-05-04T00:00:00"/>
    <s v="CUST025"/>
    <x v="14"/>
    <s v="P007"/>
    <x v="6"/>
    <x v="2"/>
    <x v="4"/>
    <n v="299.99"/>
    <x v="0"/>
    <x v="3"/>
    <x v="1"/>
    <d v="2022-06-04T00:00:00"/>
    <n v="1199.96"/>
    <n v="4"/>
    <d v="2026-10-08T11:58:49"/>
    <s v="MC"/>
    <d v="2024-05-31T00:00:00"/>
    <n v="0.1"/>
    <x v="15"/>
  </r>
  <r>
    <s v="TRX0071"/>
    <d v="2024-05-10T00:00:00"/>
    <s v="CUST036"/>
    <x v="20"/>
    <s v="P009"/>
    <x v="0"/>
    <x v="0"/>
    <x v="1"/>
    <n v="249.99"/>
    <x v="1"/>
    <x v="3"/>
    <x v="2"/>
    <d v="2021-11-25T00:00:00"/>
    <n v="1249.95"/>
    <n v="4"/>
    <d v="2026-10-08T11:58:49"/>
    <s v="NC"/>
    <d v="2024-05-31T00:00:00"/>
    <n v="0.1"/>
    <x v="16"/>
  </r>
  <r>
    <s v="TRX0040"/>
    <d v="2024-05-12T00:00:00"/>
    <s v="CUST022"/>
    <x v="9"/>
    <s v="P007"/>
    <x v="6"/>
    <x v="2"/>
    <x v="1"/>
    <n v="299.99"/>
    <x v="2"/>
    <x v="4"/>
    <x v="0"/>
    <d v="2023-08-30T00:00:00"/>
    <n v="1499.95"/>
    <n v="3"/>
    <d v="2026-10-08T11:58:49"/>
    <s v="SG"/>
    <d v="2024-05-31T00:00:00"/>
    <n v="0.1"/>
    <x v="17"/>
  </r>
  <r>
    <s v="TRX0235"/>
    <d v="2024-05-12T00:00:00"/>
    <s v="CUST014"/>
    <x v="21"/>
    <s v="P004"/>
    <x v="7"/>
    <x v="1"/>
    <x v="0"/>
    <n v="79.989999999999995"/>
    <x v="2"/>
    <x v="4"/>
    <x v="1"/>
    <d v="2023-03-27T00:00:00"/>
    <n v="239.96999999999997"/>
    <n v="3"/>
    <d v="2026-10-08T11:58:49"/>
    <s v="LM"/>
    <d v="2024-05-31T00:00:00"/>
    <n v="0.1"/>
    <x v="18"/>
  </r>
  <r>
    <s v="TRX0004"/>
    <d v="2024-05-12T00:00:00"/>
    <s v="CUST012"/>
    <x v="18"/>
    <s v="P010"/>
    <x v="8"/>
    <x v="0"/>
    <x v="1"/>
    <n v="89.99"/>
    <x v="0"/>
    <x v="2"/>
    <x v="1"/>
    <d v="2022-12-24T00:00:00"/>
    <n v="449.95"/>
    <n v="3"/>
    <d v="2026-10-08T11:58:49"/>
    <s v="PM"/>
    <d v="2024-05-31T00:00:00"/>
    <n v="0.1"/>
    <x v="19"/>
  </r>
  <r>
    <s v="TRX0063"/>
    <d v="2024-05-13T00:00:00"/>
    <s v="CUST030"/>
    <x v="22"/>
    <s v="P005"/>
    <x v="1"/>
    <x v="1"/>
    <x v="2"/>
    <n v="59.99"/>
    <x v="3"/>
    <x v="0"/>
    <x v="2"/>
    <d v="2023-10-15T00:00:00"/>
    <n v="119.98"/>
    <n v="2"/>
    <d v="2026-10-08T11:58:49"/>
    <s v="HR"/>
    <d v="2024-05-31T00:00:00"/>
    <n v="0.1"/>
    <x v="3"/>
  </r>
  <r>
    <s v="TRX0241"/>
    <d v="2024-05-15T00:00:00"/>
    <s v="CUST029"/>
    <x v="23"/>
    <s v="P005"/>
    <x v="1"/>
    <x v="1"/>
    <x v="4"/>
    <n v="59.99"/>
    <x v="3"/>
    <x v="4"/>
    <x v="2"/>
    <d v="2022-11-02T00:00:00"/>
    <n v="239.96"/>
    <n v="3"/>
    <d v="2026-10-08T11:58:49"/>
    <s v="EM"/>
    <d v="2024-05-31T00:00:00"/>
    <n v="0.1"/>
    <x v="20"/>
  </r>
  <r>
    <s v="TRX0029"/>
    <d v="2024-05-15T00:00:00"/>
    <s v="CUST017"/>
    <x v="6"/>
    <s v="P006"/>
    <x v="9"/>
    <x v="2"/>
    <x v="1"/>
    <n v="199.99"/>
    <x v="0"/>
    <x v="1"/>
    <x v="2"/>
    <d v="2021-08-04T00:00:00"/>
    <n v="999.95"/>
    <n v="5"/>
    <d v="2026-10-08T11:58:49"/>
    <s v="CA"/>
    <d v="2024-05-31T00:00:00"/>
    <n v="0.1"/>
    <x v="21"/>
  </r>
  <r>
    <s v="TRX0194"/>
    <d v="2024-05-16T00:00:00"/>
    <s v="CUST006"/>
    <x v="24"/>
    <s v="P008"/>
    <x v="2"/>
    <x v="2"/>
    <x v="2"/>
    <n v="149.99"/>
    <x v="1"/>
    <x v="3"/>
    <x v="0"/>
    <d v="2022-09-19T00:00:00"/>
    <n v="299.98"/>
    <n v="4"/>
    <d v="2026-10-08T11:58:49"/>
    <s v="LA"/>
    <d v="2024-05-31T00:00:00"/>
    <n v="0.1"/>
    <x v="22"/>
  </r>
  <r>
    <s v="TRX0130"/>
    <d v="2024-05-18T00:00:00"/>
    <s v="CUST002"/>
    <x v="25"/>
    <s v="P008"/>
    <x v="2"/>
    <x v="2"/>
    <x v="0"/>
    <n v="149.99"/>
    <x v="1"/>
    <x v="3"/>
    <x v="1"/>
    <d v="2023-05-22T00:00:00"/>
    <n v="449.97"/>
    <n v="3"/>
    <d v="2026-10-08T11:58:49"/>
    <s v="EW"/>
    <d v="2024-05-31T00:00:00"/>
    <n v="0.1"/>
    <x v="6"/>
  </r>
  <r>
    <s v="TRX0041"/>
    <d v="2024-05-20T00:00:00"/>
    <s v="CUST021"/>
    <x v="2"/>
    <s v="P001"/>
    <x v="4"/>
    <x v="0"/>
    <x v="3"/>
    <n v="899.99"/>
    <x v="1"/>
    <x v="3"/>
    <x v="1"/>
    <d v="2022-01-17T00:00:00"/>
    <n v="899.99"/>
    <n v="4"/>
    <d v="2026-10-08T11:58:49"/>
    <s v="KS"/>
    <d v="2024-05-31T00:00:00"/>
    <n v="0.1"/>
    <x v="8"/>
  </r>
  <r>
    <s v="TRX0232"/>
    <d v="2024-05-22T00:00:00"/>
    <s v="CUST012"/>
    <x v="18"/>
    <s v="P007"/>
    <x v="6"/>
    <x v="2"/>
    <x v="0"/>
    <n v="299.99"/>
    <x v="1"/>
    <x v="4"/>
    <x v="0"/>
    <d v="2022-09-20T00:00:00"/>
    <n v="899.97"/>
    <n v="4"/>
    <d v="2026-10-08T11:58:49"/>
    <s v="PM"/>
    <d v="2024-05-31T00:00:00"/>
    <n v="0.1"/>
    <x v="23"/>
  </r>
  <r>
    <s v="TRX0021"/>
    <d v="2024-05-23T00:00:00"/>
    <s v="CUST006"/>
    <x v="24"/>
    <s v="P004"/>
    <x v="7"/>
    <x v="1"/>
    <x v="0"/>
    <n v="79.989999999999995"/>
    <x v="0"/>
    <x v="1"/>
    <x v="0"/>
    <d v="2023-04-30T00:00:00"/>
    <n v="239.96999999999997"/>
    <n v="3"/>
    <d v="2026-10-08T11:58:49"/>
    <s v="LA"/>
    <d v="2024-05-31T00:00:00"/>
    <n v="0.1"/>
    <x v="18"/>
  </r>
  <r>
    <s v="TRX0245"/>
    <d v="2024-05-26T00:00:00"/>
    <s v="CUST031"/>
    <x v="26"/>
    <s v="P006"/>
    <x v="9"/>
    <x v="2"/>
    <x v="0"/>
    <n v="199.99"/>
    <x v="1"/>
    <x v="2"/>
    <x v="1"/>
    <d v="2024-01-01T00:00:00"/>
    <n v="599.97"/>
    <n v="2"/>
    <d v="2026-10-08T11:58:49"/>
    <s v="ST"/>
    <d v="2024-05-31T00:00:00"/>
    <n v="0.1"/>
    <x v="24"/>
  </r>
  <r>
    <s v="TRX0015"/>
    <d v="2024-05-28T00:00:00"/>
    <s v="CUST008"/>
    <x v="27"/>
    <s v="P002"/>
    <x v="5"/>
    <x v="0"/>
    <x v="1"/>
    <n v="699.99"/>
    <x v="2"/>
    <x v="3"/>
    <x v="2"/>
    <d v="2021-07-30T00:00:00"/>
    <n v="3499.95"/>
    <n v="5"/>
    <d v="2026-10-08T11:58:49"/>
    <s v="JT"/>
    <d v="2024-05-31T00:00:00"/>
    <n v="0.1"/>
    <x v="12"/>
  </r>
  <r>
    <s v="TRX0202"/>
    <d v="2024-05-29T00:00:00"/>
    <s v="CUST035"/>
    <x v="28"/>
    <s v="P010"/>
    <x v="8"/>
    <x v="0"/>
    <x v="0"/>
    <n v="89.99"/>
    <x v="2"/>
    <x v="0"/>
    <x v="1"/>
    <d v="2023-07-13T00:00:00"/>
    <n v="269.96999999999997"/>
    <n v="3"/>
    <d v="2026-10-08T11:58:49"/>
    <s v="HM"/>
    <d v="2024-05-31T00:00:00"/>
    <n v="0.1"/>
    <x v="25"/>
  </r>
  <r>
    <s v="TRX0042"/>
    <d v="2024-05-31T00:00:00"/>
    <s v="CUST019"/>
    <x v="29"/>
    <s v="P004"/>
    <x v="7"/>
    <x v="1"/>
    <x v="3"/>
    <n v="79.989999999999995"/>
    <x v="0"/>
    <x v="2"/>
    <x v="2"/>
    <d v="2022-12-22T00:00:00"/>
    <n v="79.989999999999995"/>
    <n v="3"/>
    <d v="2026-10-08T11:58:49"/>
    <s v="DK"/>
    <d v="2024-05-31T00:00:00"/>
    <n v="0.1"/>
    <x v="26"/>
  </r>
  <r>
    <s v="TRX0128"/>
    <d v="2024-06-01T00:00:00"/>
    <s v="CUST040"/>
    <x v="30"/>
    <s v="P005"/>
    <x v="1"/>
    <x v="1"/>
    <x v="2"/>
    <n v="59.99"/>
    <x v="0"/>
    <x v="3"/>
    <x v="0"/>
    <d v="2024-04-08T00:00:00"/>
    <n v="119.98"/>
    <n v="2"/>
    <d v="2026-10-08T11:58:49"/>
    <s v="SB"/>
    <d v="2024-06-30T00:00:00"/>
    <n v="0.1"/>
    <x v="3"/>
  </r>
  <r>
    <s v="TRX0117"/>
    <d v="2024-06-01T00:00:00"/>
    <s v="CUST017"/>
    <x v="6"/>
    <s v="P010"/>
    <x v="8"/>
    <x v="0"/>
    <x v="3"/>
    <n v="89.99"/>
    <x v="0"/>
    <x v="2"/>
    <x v="0"/>
    <d v="2023-08-03T00:00:00"/>
    <n v="89.99"/>
    <n v="3"/>
    <d v="2026-10-08T11:58:49"/>
    <s v="CA"/>
    <d v="2024-06-30T00:00:00"/>
    <n v="0.1"/>
    <x v="27"/>
  </r>
  <r>
    <s v="TRX0208"/>
    <d v="2024-06-03T00:00:00"/>
    <s v="CUST004"/>
    <x v="31"/>
    <s v="P010"/>
    <x v="8"/>
    <x v="0"/>
    <x v="1"/>
    <n v="89.99"/>
    <x v="1"/>
    <x v="4"/>
    <x v="2"/>
    <d v="2022-01-26T00:00:00"/>
    <n v="449.95"/>
    <n v="4"/>
    <d v="2026-10-08T11:58:49"/>
    <s v="SD"/>
    <d v="2024-06-30T00:00:00"/>
    <n v="0.1"/>
    <x v="19"/>
  </r>
  <r>
    <s v="TRX0234"/>
    <d v="2024-06-06T00:00:00"/>
    <s v="CUST013"/>
    <x v="1"/>
    <s v="P009"/>
    <x v="0"/>
    <x v="0"/>
    <x v="1"/>
    <n v="249.99"/>
    <x v="1"/>
    <x v="4"/>
    <x v="2"/>
    <d v="2022-05-26T00:00:00"/>
    <n v="1249.95"/>
    <n v="4"/>
    <d v="2026-10-08T11:58:49"/>
    <s v="JJ"/>
    <d v="2024-06-30T00:00:00"/>
    <n v="0.1"/>
    <x v="16"/>
  </r>
  <r>
    <s v="TRX0121"/>
    <d v="2024-06-06T00:00:00"/>
    <s v="CUST028"/>
    <x v="32"/>
    <s v="P010"/>
    <x v="8"/>
    <x v="0"/>
    <x v="3"/>
    <n v="89.99"/>
    <x v="1"/>
    <x v="1"/>
    <x v="2"/>
    <d v="2022-01-21T00:00:00"/>
    <n v="89.99"/>
    <n v="4"/>
    <d v="2026-10-08T11:58:49"/>
    <s v="BC"/>
    <d v="2024-06-30T00:00:00"/>
    <n v="0.1"/>
    <x v="27"/>
  </r>
  <r>
    <s v="TRX0220"/>
    <d v="2024-06-07T00:00:00"/>
    <s v="CUST003"/>
    <x v="4"/>
    <s v="P008"/>
    <x v="2"/>
    <x v="2"/>
    <x v="2"/>
    <n v="149.99"/>
    <x v="0"/>
    <x v="4"/>
    <x v="1"/>
    <d v="2022-03-25T00:00:00"/>
    <n v="299.98"/>
    <n v="4"/>
    <d v="2026-10-08T11:58:49"/>
    <s v="MB"/>
    <d v="2024-06-30T00:00:00"/>
    <n v="0.1"/>
    <x v="22"/>
  </r>
  <r>
    <s v="TRX0093"/>
    <d v="2024-06-09T00:00:00"/>
    <s v="CUST050"/>
    <x v="33"/>
    <s v="P005"/>
    <x v="1"/>
    <x v="1"/>
    <x v="4"/>
    <n v="59.99"/>
    <x v="0"/>
    <x v="4"/>
    <x v="2"/>
    <d v="2021-08-27T00:00:00"/>
    <n v="239.96"/>
    <n v="5"/>
    <d v="2026-10-08T11:58:49"/>
    <s v="JF"/>
    <d v="2024-06-30T00:00:00"/>
    <n v="0.1"/>
    <x v="20"/>
  </r>
  <r>
    <s v="TRX0088"/>
    <d v="2024-06-13T00:00:00"/>
    <s v="CUST006"/>
    <x v="24"/>
    <s v="P010"/>
    <x v="8"/>
    <x v="0"/>
    <x v="1"/>
    <n v="89.99"/>
    <x v="0"/>
    <x v="0"/>
    <x v="1"/>
    <d v="2022-01-18T00:00:00"/>
    <n v="449.95"/>
    <n v="4"/>
    <d v="2026-10-08T11:58:49"/>
    <s v="LA"/>
    <d v="2024-06-30T00:00:00"/>
    <n v="0.1"/>
    <x v="19"/>
  </r>
  <r>
    <s v="TRX0115"/>
    <d v="2024-06-16T00:00:00"/>
    <s v="CUST012"/>
    <x v="18"/>
    <s v="P010"/>
    <x v="8"/>
    <x v="0"/>
    <x v="2"/>
    <n v="89.99"/>
    <x v="1"/>
    <x v="1"/>
    <x v="1"/>
    <d v="2021-10-02T00:00:00"/>
    <n v="179.98"/>
    <n v="5"/>
    <d v="2026-10-08T11:58:49"/>
    <s v="PM"/>
    <d v="2024-06-30T00:00:00"/>
    <n v="0.1"/>
    <x v="28"/>
  </r>
  <r>
    <s v="TRX0154"/>
    <d v="2024-06-16T00:00:00"/>
    <s v="CUST023"/>
    <x v="0"/>
    <s v="P001"/>
    <x v="4"/>
    <x v="0"/>
    <x v="1"/>
    <n v="899.99"/>
    <x v="1"/>
    <x v="1"/>
    <x v="2"/>
    <d v="2023-02-17T00:00:00"/>
    <n v="4499.95"/>
    <n v="3"/>
    <d v="2026-10-08T11:58:49"/>
    <s v="PB"/>
    <d v="2024-06-30T00:00:00"/>
    <n v="0.1"/>
    <x v="29"/>
  </r>
  <r>
    <s v="TRX0044"/>
    <d v="2024-06-16T00:00:00"/>
    <s v="CUST029"/>
    <x v="23"/>
    <s v="P001"/>
    <x v="4"/>
    <x v="0"/>
    <x v="1"/>
    <n v="899.99"/>
    <x v="2"/>
    <x v="4"/>
    <x v="1"/>
    <d v="2023-12-18T00:00:00"/>
    <n v="4499.95"/>
    <n v="2"/>
    <d v="2026-10-08T11:58:49"/>
    <s v="EM"/>
    <d v="2024-06-30T00:00:00"/>
    <n v="0.1"/>
    <x v="29"/>
  </r>
  <r>
    <s v="TRX0061"/>
    <d v="2024-06-17T00:00:00"/>
    <s v="CUST028"/>
    <x v="32"/>
    <s v="P005"/>
    <x v="1"/>
    <x v="1"/>
    <x v="3"/>
    <n v="59.99"/>
    <x v="3"/>
    <x v="3"/>
    <x v="1"/>
    <d v="2023-09-21T00:00:00"/>
    <n v="59.99"/>
    <n v="3"/>
    <d v="2026-10-08T11:58:49"/>
    <s v="BC"/>
    <d v="2024-06-30T00:00:00"/>
    <n v="0.1"/>
    <x v="30"/>
  </r>
  <r>
    <s v="TRX0150"/>
    <d v="2024-06-17T00:00:00"/>
    <s v="CUST008"/>
    <x v="27"/>
    <s v="P007"/>
    <x v="6"/>
    <x v="2"/>
    <x v="2"/>
    <n v="299.99"/>
    <x v="3"/>
    <x v="4"/>
    <x v="2"/>
    <d v="2023-11-23T00:00:00"/>
    <n v="599.98"/>
    <n v="2"/>
    <d v="2026-10-08T11:58:49"/>
    <s v="JT"/>
    <d v="2024-06-30T00:00:00"/>
    <n v="0.1"/>
    <x v="31"/>
  </r>
  <r>
    <s v="TRX0025"/>
    <d v="2024-06-25T00:00:00"/>
    <s v="CUST049"/>
    <x v="34"/>
    <s v="P010"/>
    <x v="8"/>
    <x v="0"/>
    <x v="4"/>
    <n v="89.99"/>
    <x v="3"/>
    <x v="1"/>
    <x v="0"/>
    <d v="2023-12-21T00:00:00"/>
    <n v="359.96"/>
    <n v="2"/>
    <d v="2026-10-08T11:58:49"/>
    <s v="RR"/>
    <d v="2024-06-30T00:00:00"/>
    <n v="0.1"/>
    <x v="32"/>
  </r>
  <r>
    <s v="TRX0078"/>
    <d v="2024-06-26T00:00:00"/>
    <s v="CUST021"/>
    <x v="2"/>
    <s v="P004"/>
    <x v="7"/>
    <x v="1"/>
    <x v="3"/>
    <n v="79.989999999999995"/>
    <x v="2"/>
    <x v="0"/>
    <x v="1"/>
    <d v="2024-03-01T00:00:00"/>
    <n v="79.989999999999995"/>
    <n v="2"/>
    <d v="2026-10-08T11:58:49"/>
    <s v="KS"/>
    <d v="2024-06-30T00:00:00"/>
    <n v="0.1"/>
    <x v="26"/>
  </r>
  <r>
    <s v="TRX0007"/>
    <d v="2024-06-26T00:00:00"/>
    <s v="CUST009"/>
    <x v="7"/>
    <s v="P010"/>
    <x v="8"/>
    <x v="0"/>
    <x v="2"/>
    <n v="89.99"/>
    <x v="0"/>
    <x v="3"/>
    <x v="0"/>
    <d v="2021-08-30T00:00:00"/>
    <n v="179.98"/>
    <n v="5"/>
    <d v="2026-10-08T11:58:49"/>
    <s v="RT"/>
    <d v="2024-06-30T00:00:00"/>
    <n v="0.1"/>
    <x v="28"/>
  </r>
  <r>
    <s v="TRX0184"/>
    <d v="2024-06-28T00:00:00"/>
    <s v="CUST046"/>
    <x v="3"/>
    <s v="P002"/>
    <x v="5"/>
    <x v="0"/>
    <x v="0"/>
    <n v="699.99"/>
    <x v="1"/>
    <x v="4"/>
    <x v="1"/>
    <d v="2023-06-25T00:00:00"/>
    <n v="2099.9700000000003"/>
    <n v="3"/>
    <d v="2026-10-08T11:58:49"/>
    <s v="KB"/>
    <d v="2024-06-30T00:00:00"/>
    <n v="0.1"/>
    <x v="7"/>
  </r>
  <r>
    <s v="TRX0104"/>
    <d v="2024-06-28T00:00:00"/>
    <s v="CUST012"/>
    <x v="18"/>
    <s v="P001"/>
    <x v="4"/>
    <x v="0"/>
    <x v="4"/>
    <n v="899.99"/>
    <x v="1"/>
    <x v="4"/>
    <x v="1"/>
    <d v="2023-03-08T00:00:00"/>
    <n v="3599.96"/>
    <n v="3"/>
    <d v="2026-10-08T11:58:49"/>
    <s v="PM"/>
    <d v="2024-06-30T00:00:00"/>
    <n v="0.1"/>
    <x v="11"/>
  </r>
  <r>
    <s v="TRX0127"/>
    <d v="2024-06-29T00:00:00"/>
    <s v="CUST030"/>
    <x v="22"/>
    <s v="P008"/>
    <x v="2"/>
    <x v="2"/>
    <x v="3"/>
    <n v="149.99"/>
    <x v="2"/>
    <x v="4"/>
    <x v="0"/>
    <d v="2022-10-17T00:00:00"/>
    <n v="149.99"/>
    <n v="3"/>
    <d v="2026-10-08T11:58:49"/>
    <s v="HR"/>
    <d v="2024-06-30T00:00:00"/>
    <n v="0.1"/>
    <x v="5"/>
  </r>
  <r>
    <s v="TRX0096"/>
    <d v="2024-07-01T00:00:00"/>
    <s v="CUST002"/>
    <x v="25"/>
    <s v="P010"/>
    <x v="8"/>
    <x v="0"/>
    <x v="2"/>
    <n v="89.99"/>
    <x v="2"/>
    <x v="0"/>
    <x v="1"/>
    <d v="2023-12-15T00:00:00"/>
    <n v="179.98"/>
    <n v="2"/>
    <d v="2026-10-08T11:58:49"/>
    <s v="EW"/>
    <d v="2024-07-31T00:00:00"/>
    <n v="0.1"/>
    <x v="28"/>
  </r>
  <r>
    <s v="TRX0192"/>
    <d v="2024-07-02T00:00:00"/>
    <s v="CUST017"/>
    <x v="6"/>
    <s v="P010"/>
    <x v="8"/>
    <x v="0"/>
    <x v="3"/>
    <n v="89.99"/>
    <x v="2"/>
    <x v="3"/>
    <x v="2"/>
    <d v="2022-08-29T00:00:00"/>
    <n v="89.99"/>
    <n v="4"/>
    <d v="2026-10-08T11:58:49"/>
    <s v="CA"/>
    <d v="2024-07-31T00:00:00"/>
    <n v="0.1"/>
    <x v="27"/>
  </r>
  <r>
    <s v="TRX0052"/>
    <d v="2024-07-03T00:00:00"/>
    <s v="CUST022"/>
    <x v="9"/>
    <s v="P010"/>
    <x v="8"/>
    <x v="0"/>
    <x v="3"/>
    <n v="89.99"/>
    <x v="0"/>
    <x v="1"/>
    <x v="2"/>
    <d v="2022-02-19T00:00:00"/>
    <n v="89.99"/>
    <n v="4"/>
    <d v="2026-10-08T11:58:49"/>
    <s v="SG"/>
    <d v="2024-07-31T00:00:00"/>
    <n v="0.1"/>
    <x v="27"/>
  </r>
  <r>
    <s v="TRX0070"/>
    <d v="2024-07-03T00:00:00"/>
    <s v="CUST007"/>
    <x v="35"/>
    <s v="P004"/>
    <x v="7"/>
    <x v="1"/>
    <x v="1"/>
    <n v="79.989999999999995"/>
    <x v="3"/>
    <x v="0"/>
    <x v="0"/>
    <d v="2023-02-24T00:00:00"/>
    <n v="399.95"/>
    <n v="3"/>
    <d v="2026-10-08T11:58:49"/>
    <s v="DM"/>
    <d v="2024-07-31T00:00:00"/>
    <n v="0.1"/>
    <x v="33"/>
  </r>
  <r>
    <s v="TRX0086"/>
    <d v="2024-07-08T00:00:00"/>
    <s v="CUST020"/>
    <x v="36"/>
    <s v="P008"/>
    <x v="2"/>
    <x v="2"/>
    <x v="3"/>
    <n v="149.99"/>
    <x v="2"/>
    <x v="2"/>
    <x v="0"/>
    <d v="2021-08-13T00:00:00"/>
    <n v="149.99"/>
    <n v="5"/>
    <d v="2026-10-08T11:58:49"/>
    <s v="MW"/>
    <d v="2024-07-31T00:00:00"/>
    <n v="0.1"/>
    <x v="5"/>
  </r>
  <r>
    <s v="TRX0113"/>
    <d v="2024-07-08T00:00:00"/>
    <s v="CUST003"/>
    <x v="4"/>
    <s v="P002"/>
    <x v="5"/>
    <x v="0"/>
    <x v="2"/>
    <n v="699.99"/>
    <x v="2"/>
    <x v="4"/>
    <x v="1"/>
    <d v="2024-04-07T00:00:00"/>
    <n v="1399.98"/>
    <n v="2"/>
    <d v="2026-10-08T11:58:49"/>
    <s v="MB"/>
    <d v="2024-07-31T00:00:00"/>
    <n v="0.1"/>
    <x v="10"/>
  </r>
  <r>
    <s v="TRX0114"/>
    <d v="2024-07-08T00:00:00"/>
    <s v="CUST018"/>
    <x v="17"/>
    <s v="P010"/>
    <x v="8"/>
    <x v="0"/>
    <x v="1"/>
    <n v="89.99"/>
    <x v="3"/>
    <x v="2"/>
    <x v="1"/>
    <d v="2023-08-23T00:00:00"/>
    <n v="449.95"/>
    <n v="3"/>
    <d v="2026-10-08T11:58:49"/>
    <s v="BY"/>
    <d v="2024-07-31T00:00:00"/>
    <n v="0.1"/>
    <x v="19"/>
  </r>
  <r>
    <s v="TRX0136"/>
    <d v="2024-07-09T00:00:00"/>
    <s v="CUST049"/>
    <x v="34"/>
    <s v="P005"/>
    <x v="1"/>
    <x v="1"/>
    <x v="4"/>
    <n v="59.99"/>
    <x v="0"/>
    <x v="1"/>
    <x v="2"/>
    <d v="2021-11-09T00:00:00"/>
    <n v="239.96"/>
    <n v="4"/>
    <d v="2026-10-08T11:58:49"/>
    <s v="RR"/>
    <d v="2024-07-31T00:00:00"/>
    <n v="0.1"/>
    <x v="20"/>
  </r>
  <r>
    <s v="TRX0018"/>
    <d v="2024-07-11T00:00:00"/>
    <s v="CUST013"/>
    <x v="1"/>
    <s v="P003"/>
    <x v="3"/>
    <x v="0"/>
    <x v="3"/>
    <n v="149.99"/>
    <x v="0"/>
    <x v="0"/>
    <x v="2"/>
    <d v="2022-12-14T00:00:00"/>
    <n v="149.99"/>
    <n v="3"/>
    <d v="2026-10-08T11:58:49"/>
    <s v="JJ"/>
    <d v="2024-07-31T00:00:00"/>
    <n v="0.1"/>
    <x v="5"/>
  </r>
  <r>
    <s v="TRX0141"/>
    <d v="2024-07-11T00:00:00"/>
    <s v="CUST033"/>
    <x v="37"/>
    <s v="P007"/>
    <x v="6"/>
    <x v="2"/>
    <x v="3"/>
    <n v="299.99"/>
    <x v="1"/>
    <x v="2"/>
    <x v="1"/>
    <d v="2022-11-26T00:00:00"/>
    <n v="299.99"/>
    <n v="3"/>
    <d v="2026-10-08T11:58:49"/>
    <s v="FT"/>
    <d v="2024-07-31T00:00:00"/>
    <n v="0.1"/>
    <x v="34"/>
  </r>
  <r>
    <s v="TRX0097"/>
    <d v="2024-07-14T00:00:00"/>
    <s v="CUST033"/>
    <x v="37"/>
    <s v="P006"/>
    <x v="9"/>
    <x v="2"/>
    <x v="2"/>
    <n v="199.99"/>
    <x v="0"/>
    <x v="2"/>
    <x v="0"/>
    <d v="2021-12-11T00:00:00"/>
    <n v="399.98"/>
    <n v="4"/>
    <d v="2026-10-08T11:58:49"/>
    <s v="FT"/>
    <d v="2024-07-31T00:00:00"/>
    <n v="0.1"/>
    <x v="35"/>
  </r>
  <r>
    <s v="TRX0169"/>
    <d v="2024-07-17T00:00:00"/>
    <s v="CUST047"/>
    <x v="38"/>
    <s v="P005"/>
    <x v="1"/>
    <x v="1"/>
    <x v="0"/>
    <n v="59.99"/>
    <x v="1"/>
    <x v="3"/>
    <x v="0"/>
    <d v="2023-07-23T00:00:00"/>
    <n v="179.97"/>
    <n v="3"/>
    <d v="2026-10-08T11:58:49"/>
    <s v="GM"/>
    <d v="2024-07-31T00:00:00"/>
    <n v="0.1"/>
    <x v="1"/>
  </r>
  <r>
    <s v="TRX0216"/>
    <d v="2024-07-17T00:00:00"/>
    <s v="CUST041"/>
    <x v="10"/>
    <s v="P008"/>
    <x v="2"/>
    <x v="2"/>
    <x v="0"/>
    <n v="149.99"/>
    <x v="0"/>
    <x v="0"/>
    <x v="1"/>
    <d v="2023-09-30T00:00:00"/>
    <n v="449.97"/>
    <n v="3"/>
    <d v="2026-10-08T11:58:49"/>
    <s v="PR"/>
    <d v="2024-07-31T00:00:00"/>
    <n v="0.1"/>
    <x v="6"/>
  </r>
  <r>
    <s v="TRX0131"/>
    <d v="2024-07-18T00:00:00"/>
    <s v="CUST026"/>
    <x v="8"/>
    <s v="P006"/>
    <x v="9"/>
    <x v="2"/>
    <x v="0"/>
    <n v="199.99"/>
    <x v="0"/>
    <x v="2"/>
    <x v="1"/>
    <d v="2023-11-24T00:00:00"/>
    <n v="599.97"/>
    <n v="2"/>
    <d v="2026-10-08T11:58:49"/>
    <s v="KH"/>
    <d v="2024-07-31T00:00:00"/>
    <n v="0.1"/>
    <x v="24"/>
  </r>
  <r>
    <s v="TRX0162"/>
    <d v="2024-07-23T00:00:00"/>
    <s v="CUST040"/>
    <x v="30"/>
    <s v="P001"/>
    <x v="4"/>
    <x v="0"/>
    <x v="3"/>
    <n v="899.99"/>
    <x v="0"/>
    <x v="0"/>
    <x v="2"/>
    <d v="2023-09-10T00:00:00"/>
    <n v="899.99"/>
    <n v="3"/>
    <d v="2026-10-08T11:58:49"/>
    <s v="SB"/>
    <d v="2024-07-31T00:00:00"/>
    <n v="0.1"/>
    <x v="8"/>
  </r>
  <r>
    <s v="TRX0244"/>
    <d v="2024-07-24T00:00:00"/>
    <s v="CUST013"/>
    <x v="1"/>
    <s v="P001"/>
    <x v="4"/>
    <x v="0"/>
    <x v="1"/>
    <n v="899.99"/>
    <x v="3"/>
    <x v="1"/>
    <x v="2"/>
    <d v="2022-12-04T00:00:00"/>
    <n v="4499.95"/>
    <n v="3"/>
    <d v="2026-10-08T11:58:49"/>
    <s v="JJ"/>
    <d v="2024-07-31T00:00:00"/>
    <n v="0.1"/>
    <x v="29"/>
  </r>
  <r>
    <s v="TRX0006"/>
    <d v="2024-07-25T00:00:00"/>
    <s v="CUST007"/>
    <x v="35"/>
    <s v="P005"/>
    <x v="1"/>
    <x v="1"/>
    <x v="2"/>
    <n v="59.99"/>
    <x v="0"/>
    <x v="2"/>
    <x v="2"/>
    <d v="2023-08-14T00:00:00"/>
    <n v="119.98"/>
    <n v="3"/>
    <d v="2026-10-08T11:58:49"/>
    <s v="DM"/>
    <d v="2024-07-31T00:00:00"/>
    <n v="0.1"/>
    <x v="3"/>
  </r>
  <r>
    <s v="TRX0215"/>
    <d v="2024-07-25T00:00:00"/>
    <s v="CUST047"/>
    <x v="38"/>
    <s v="P009"/>
    <x v="0"/>
    <x v="0"/>
    <x v="4"/>
    <n v="249.99"/>
    <x v="3"/>
    <x v="0"/>
    <x v="2"/>
    <d v="2023-07-20T00:00:00"/>
    <n v="999.96"/>
    <n v="3"/>
    <d v="2026-10-08T11:58:49"/>
    <s v="GM"/>
    <d v="2024-07-31T00:00:00"/>
    <n v="0.1"/>
    <x v="14"/>
  </r>
  <r>
    <s v="TRX0080"/>
    <d v="2024-07-27T00:00:00"/>
    <s v="CUST018"/>
    <x v="17"/>
    <s v="P009"/>
    <x v="0"/>
    <x v="0"/>
    <x v="2"/>
    <n v="249.99"/>
    <x v="0"/>
    <x v="2"/>
    <x v="1"/>
    <d v="2023-08-26T00:00:00"/>
    <n v="499.98"/>
    <n v="3"/>
    <d v="2026-10-08T11:58:49"/>
    <s v="BY"/>
    <d v="2024-07-31T00:00:00"/>
    <n v="0.1"/>
    <x v="36"/>
  </r>
  <r>
    <s v="TRX0228"/>
    <d v="2024-07-27T00:00:00"/>
    <s v="CUST019"/>
    <x v="29"/>
    <s v="P007"/>
    <x v="6"/>
    <x v="2"/>
    <x v="3"/>
    <n v="299.99"/>
    <x v="0"/>
    <x v="1"/>
    <x v="0"/>
    <d v="2023-02-25T00:00:00"/>
    <n v="299.99"/>
    <n v="3"/>
    <d v="2026-10-08T11:58:49"/>
    <s v="DK"/>
    <d v="2024-07-31T00:00:00"/>
    <n v="0.1"/>
    <x v="34"/>
  </r>
  <r>
    <s v="TRX0157"/>
    <d v="2024-07-28T00:00:00"/>
    <s v="CUST025"/>
    <x v="14"/>
    <s v="P010"/>
    <x v="8"/>
    <x v="0"/>
    <x v="2"/>
    <n v="89.99"/>
    <x v="2"/>
    <x v="1"/>
    <x v="0"/>
    <d v="2023-02-19T00:00:00"/>
    <n v="179.98"/>
    <n v="3"/>
    <d v="2026-10-08T11:58:49"/>
    <s v="MC"/>
    <d v="2024-07-31T00:00:00"/>
    <n v="0.1"/>
    <x v="28"/>
  </r>
  <r>
    <s v="TRX0002"/>
    <d v="2024-07-28T00:00:00"/>
    <s v="CUST019"/>
    <x v="29"/>
    <s v="P007"/>
    <x v="6"/>
    <x v="2"/>
    <x v="0"/>
    <n v="299.99"/>
    <x v="0"/>
    <x v="0"/>
    <x v="0"/>
    <d v="2022-06-20T00:00:00"/>
    <n v="899.97"/>
    <n v="4"/>
    <d v="2026-10-08T11:58:49"/>
    <s v="DK"/>
    <d v="2024-07-31T00:00:00"/>
    <n v="0.1"/>
    <x v="23"/>
  </r>
  <r>
    <s v="TRX0217"/>
    <d v="2024-07-30T00:00:00"/>
    <s v="CUST025"/>
    <x v="14"/>
    <s v="P002"/>
    <x v="5"/>
    <x v="0"/>
    <x v="2"/>
    <n v="699.99"/>
    <x v="1"/>
    <x v="2"/>
    <x v="1"/>
    <d v="2023-03-14T00:00:00"/>
    <n v="1399.98"/>
    <n v="3"/>
    <d v="2026-10-08T11:58:49"/>
    <s v="MC"/>
    <d v="2024-07-31T00:00:00"/>
    <n v="0.1"/>
    <x v="10"/>
  </r>
  <r>
    <s v="TRX0249"/>
    <d v="2024-07-31T00:00:00"/>
    <s v="CUST030"/>
    <x v="22"/>
    <s v="P001"/>
    <x v="4"/>
    <x v="0"/>
    <x v="4"/>
    <n v="899.99"/>
    <x v="3"/>
    <x v="1"/>
    <x v="2"/>
    <d v="2021-11-23T00:00:00"/>
    <n v="3599.96"/>
    <n v="4"/>
    <d v="2026-10-08T11:58:49"/>
    <s v="HR"/>
    <d v="2024-07-31T00:00:00"/>
    <n v="0.1"/>
    <x v="11"/>
  </r>
  <r>
    <s v="TRX0065"/>
    <d v="2024-08-05T00:00:00"/>
    <s v="CUST016"/>
    <x v="39"/>
    <s v="P008"/>
    <x v="2"/>
    <x v="2"/>
    <x v="2"/>
    <n v="149.99"/>
    <x v="1"/>
    <x v="3"/>
    <x v="0"/>
    <d v="2021-12-12T00:00:00"/>
    <n v="299.98"/>
    <n v="4"/>
    <d v="2026-10-08T11:58:49"/>
    <s v="EH"/>
    <d v="2024-08-31T00:00:00"/>
    <n v="0.1"/>
    <x v="22"/>
  </r>
  <r>
    <s v="TRX0176"/>
    <d v="2024-08-06T00:00:00"/>
    <s v="CUST044"/>
    <x v="19"/>
    <s v="P008"/>
    <x v="2"/>
    <x v="2"/>
    <x v="2"/>
    <n v="149.99"/>
    <x v="3"/>
    <x v="4"/>
    <x v="2"/>
    <d v="2022-04-16T00:00:00"/>
    <n v="299.98"/>
    <n v="4"/>
    <d v="2026-10-08T11:58:49"/>
    <s v="CP"/>
    <d v="2024-08-31T00:00:00"/>
    <n v="0.1"/>
    <x v="22"/>
  </r>
  <r>
    <s v="TRX0101"/>
    <d v="2024-08-09T00:00:00"/>
    <s v="CUST010"/>
    <x v="15"/>
    <s v="P010"/>
    <x v="8"/>
    <x v="0"/>
    <x v="3"/>
    <n v="89.99"/>
    <x v="1"/>
    <x v="2"/>
    <x v="2"/>
    <d v="2024-04-11T00:00:00"/>
    <n v="89.99"/>
    <n v="2"/>
    <d v="2026-10-08T11:58:49"/>
    <s v="MG"/>
    <d v="2024-08-31T00:00:00"/>
    <n v="0.1"/>
    <x v="27"/>
  </r>
  <r>
    <s v="TRX0205"/>
    <d v="2024-08-11T00:00:00"/>
    <s v="CUST025"/>
    <x v="14"/>
    <s v="P007"/>
    <x v="6"/>
    <x v="2"/>
    <x v="1"/>
    <n v="299.99"/>
    <x v="1"/>
    <x v="2"/>
    <x v="0"/>
    <d v="2023-02-08T00:00:00"/>
    <n v="1499.95"/>
    <n v="3"/>
    <d v="2026-10-08T11:58:49"/>
    <s v="MC"/>
    <d v="2024-08-31T00:00:00"/>
    <n v="0.1"/>
    <x v="17"/>
  </r>
  <r>
    <s v="TRX0020"/>
    <d v="2024-08-13T00:00:00"/>
    <s v="CUST007"/>
    <x v="35"/>
    <s v="P003"/>
    <x v="3"/>
    <x v="0"/>
    <x v="4"/>
    <n v="149.99"/>
    <x v="3"/>
    <x v="1"/>
    <x v="1"/>
    <d v="2022-09-16T00:00:00"/>
    <n v="599.96"/>
    <n v="4"/>
    <d v="2026-10-08T11:58:49"/>
    <s v="DM"/>
    <d v="2024-08-31T00:00:00"/>
    <n v="0.1"/>
    <x v="9"/>
  </r>
  <r>
    <s v="TRX0075"/>
    <d v="2024-08-13T00:00:00"/>
    <s v="CUST020"/>
    <x v="36"/>
    <s v="P009"/>
    <x v="0"/>
    <x v="0"/>
    <x v="1"/>
    <n v="249.99"/>
    <x v="2"/>
    <x v="4"/>
    <x v="1"/>
    <d v="2022-08-09T00:00:00"/>
    <n v="1249.95"/>
    <n v="4"/>
    <d v="2026-10-08T11:58:49"/>
    <s v="MW"/>
    <d v="2024-08-31T00:00:00"/>
    <n v="0.1"/>
    <x v="16"/>
  </r>
  <r>
    <s v="TRX0098"/>
    <d v="2024-08-13T00:00:00"/>
    <s v="CUST026"/>
    <x v="8"/>
    <s v="P009"/>
    <x v="0"/>
    <x v="0"/>
    <x v="0"/>
    <n v="249.99"/>
    <x v="2"/>
    <x v="2"/>
    <x v="1"/>
    <d v="2021-09-26T00:00:00"/>
    <n v="749.97"/>
    <n v="5"/>
    <d v="2026-10-08T11:58:49"/>
    <s v="KH"/>
    <d v="2024-08-31T00:00:00"/>
    <n v="0.1"/>
    <x v="0"/>
  </r>
  <r>
    <s v="TRX0247"/>
    <d v="2024-08-13T00:00:00"/>
    <s v="CUST046"/>
    <x v="3"/>
    <s v="P006"/>
    <x v="9"/>
    <x v="2"/>
    <x v="4"/>
    <n v="199.99"/>
    <x v="0"/>
    <x v="2"/>
    <x v="2"/>
    <d v="2021-09-19T00:00:00"/>
    <n v="799.96"/>
    <n v="5"/>
    <d v="2026-10-08T11:58:49"/>
    <s v="KB"/>
    <d v="2024-08-31T00:00:00"/>
    <n v="0.1"/>
    <x v="37"/>
  </r>
  <r>
    <s v="TRX0027"/>
    <d v="2024-08-15T00:00:00"/>
    <s v="CUST028"/>
    <x v="32"/>
    <s v="P006"/>
    <x v="9"/>
    <x v="2"/>
    <x v="1"/>
    <n v="199.99"/>
    <x v="0"/>
    <x v="2"/>
    <x v="1"/>
    <d v="2023-03-06T00:00:00"/>
    <n v="999.95"/>
    <n v="3"/>
    <d v="2026-10-08T11:58:49"/>
    <s v="BC"/>
    <d v="2024-08-31T00:00:00"/>
    <n v="0.1"/>
    <x v="21"/>
  </r>
  <r>
    <s v="TRX0140"/>
    <d v="2024-08-18T00:00:00"/>
    <s v="CUST025"/>
    <x v="14"/>
    <s v="P010"/>
    <x v="8"/>
    <x v="0"/>
    <x v="2"/>
    <n v="89.99"/>
    <x v="0"/>
    <x v="4"/>
    <x v="1"/>
    <d v="2023-02-15T00:00:00"/>
    <n v="179.98"/>
    <n v="3"/>
    <d v="2026-10-08T11:58:49"/>
    <s v="MC"/>
    <d v="2024-08-31T00:00:00"/>
    <n v="0.1"/>
    <x v="28"/>
  </r>
  <r>
    <s v="TRX0132"/>
    <d v="2024-08-19T00:00:00"/>
    <s v="CUST047"/>
    <x v="38"/>
    <s v="P001"/>
    <x v="4"/>
    <x v="0"/>
    <x v="1"/>
    <n v="899.99"/>
    <x v="3"/>
    <x v="4"/>
    <x v="0"/>
    <d v="2021-11-26T00:00:00"/>
    <n v="4499.95"/>
    <n v="4"/>
    <d v="2026-10-08T11:58:49"/>
    <s v="GM"/>
    <d v="2024-08-31T00:00:00"/>
    <n v="0.1"/>
    <x v="29"/>
  </r>
  <r>
    <s v="TRX0031"/>
    <d v="2024-08-19T00:00:00"/>
    <s v="CUST036"/>
    <x v="20"/>
    <s v="P003"/>
    <x v="3"/>
    <x v="0"/>
    <x v="0"/>
    <n v="149.99"/>
    <x v="2"/>
    <x v="4"/>
    <x v="0"/>
    <d v="2022-01-13T00:00:00"/>
    <n v="449.97"/>
    <n v="4"/>
    <d v="2026-10-08T11:58:49"/>
    <s v="NC"/>
    <d v="2024-08-31T00:00:00"/>
    <n v="0.1"/>
    <x v="6"/>
  </r>
  <r>
    <s v="TRX0236"/>
    <d v="2024-08-22T00:00:00"/>
    <s v="CUST044"/>
    <x v="19"/>
    <s v="P008"/>
    <x v="2"/>
    <x v="2"/>
    <x v="1"/>
    <n v="149.99"/>
    <x v="1"/>
    <x v="0"/>
    <x v="0"/>
    <d v="2024-01-19T00:00:00"/>
    <n v="749.95"/>
    <n v="2"/>
    <d v="2026-10-08T11:58:49"/>
    <s v="CP"/>
    <d v="2024-08-31T00:00:00"/>
    <n v="0.1"/>
    <x v="2"/>
  </r>
  <r>
    <s v="TRX0001"/>
    <d v="2024-08-24T00:00:00"/>
    <s v="CUST039"/>
    <x v="40"/>
    <s v="P004"/>
    <x v="7"/>
    <x v="1"/>
    <x v="0"/>
    <n v="79.989999999999995"/>
    <x v="0"/>
    <x v="0"/>
    <x v="1"/>
    <d v="2022-08-06T00:00:00"/>
    <n v="239.96999999999997"/>
    <n v="4"/>
    <d v="2026-10-08T11:58:49"/>
    <s v="LR"/>
    <d v="2024-08-31T00:00:00"/>
    <n v="0.1"/>
    <x v="18"/>
  </r>
  <r>
    <s v="TRX0037"/>
    <d v="2024-08-24T00:00:00"/>
    <s v="CUST035"/>
    <x v="28"/>
    <s v="P009"/>
    <x v="0"/>
    <x v="0"/>
    <x v="2"/>
    <n v="249.99"/>
    <x v="0"/>
    <x v="1"/>
    <x v="2"/>
    <d v="2022-01-11T00:00:00"/>
    <n v="499.98"/>
    <n v="4"/>
    <d v="2026-10-08T11:58:49"/>
    <s v="HM"/>
    <d v="2024-08-31T00:00:00"/>
    <n v="0.1"/>
    <x v="36"/>
  </r>
  <r>
    <s v="TRX0058"/>
    <d v="2024-08-28T00:00:00"/>
    <s v="CUST047"/>
    <x v="38"/>
    <s v="P002"/>
    <x v="5"/>
    <x v="0"/>
    <x v="3"/>
    <n v="699.99"/>
    <x v="0"/>
    <x v="0"/>
    <x v="1"/>
    <d v="2021-10-28T00:00:00"/>
    <n v="699.99"/>
    <n v="4"/>
    <d v="2026-10-08T11:58:49"/>
    <s v="GM"/>
    <d v="2024-08-31T00:00:00"/>
    <n v="0.1"/>
    <x v="38"/>
  </r>
  <r>
    <s v="TRX0170"/>
    <d v="2024-08-28T00:00:00"/>
    <s v="CUST034"/>
    <x v="41"/>
    <s v="P003"/>
    <x v="3"/>
    <x v="0"/>
    <x v="0"/>
    <n v="149.99"/>
    <x v="0"/>
    <x v="3"/>
    <x v="1"/>
    <d v="2023-10-13T00:00:00"/>
    <n v="449.97"/>
    <n v="2"/>
    <d v="2026-10-08T11:58:49"/>
    <s v="CE"/>
    <d v="2024-08-31T00:00:00"/>
    <n v="0.1"/>
    <x v="6"/>
  </r>
  <r>
    <s v="TRX0248"/>
    <d v="2024-08-30T00:00:00"/>
    <s v="CUST032"/>
    <x v="42"/>
    <s v="P002"/>
    <x v="5"/>
    <x v="0"/>
    <x v="2"/>
    <n v="699.99"/>
    <x v="1"/>
    <x v="2"/>
    <x v="1"/>
    <d v="2021-08-13T00:00:00"/>
    <n v="1399.98"/>
    <n v="5"/>
    <d v="2026-10-08T11:58:49"/>
    <s v="SP"/>
    <d v="2024-08-31T00:00:00"/>
    <n v="0.1"/>
    <x v="10"/>
  </r>
  <r>
    <s v="TRX0099"/>
    <d v="2024-09-02T00:00:00"/>
    <s v="CUST034"/>
    <x v="41"/>
    <s v="P009"/>
    <x v="0"/>
    <x v="0"/>
    <x v="3"/>
    <n v="249.99"/>
    <x v="1"/>
    <x v="3"/>
    <x v="1"/>
    <d v="2022-05-04T00:00:00"/>
    <n v="249.99"/>
    <n v="4"/>
    <d v="2026-10-08T11:58:49"/>
    <s v="CE"/>
    <d v="2024-09-30T00:00:00"/>
    <n v="0.1"/>
    <x v="39"/>
  </r>
  <r>
    <s v="TRX0074"/>
    <d v="2024-09-02T00:00:00"/>
    <s v="CUST023"/>
    <x v="0"/>
    <s v="P009"/>
    <x v="0"/>
    <x v="0"/>
    <x v="3"/>
    <n v="249.99"/>
    <x v="3"/>
    <x v="2"/>
    <x v="1"/>
    <d v="2024-02-10T00:00:00"/>
    <n v="249.99"/>
    <n v="2"/>
    <d v="2026-10-08T11:58:49"/>
    <s v="PB"/>
    <d v="2024-09-30T00:00:00"/>
    <n v="0.1"/>
    <x v="39"/>
  </r>
  <r>
    <s v="TRX0225"/>
    <d v="2024-09-03T00:00:00"/>
    <s v="CUST039"/>
    <x v="40"/>
    <s v="P002"/>
    <x v="5"/>
    <x v="0"/>
    <x v="2"/>
    <n v="699.99"/>
    <x v="3"/>
    <x v="0"/>
    <x v="1"/>
    <d v="2022-11-05T00:00:00"/>
    <n v="1399.98"/>
    <n v="3"/>
    <d v="2026-10-08T11:58:49"/>
    <s v="LR"/>
    <d v="2024-09-30T00:00:00"/>
    <n v="0.1"/>
    <x v="10"/>
  </r>
  <r>
    <s v="TRX0100"/>
    <d v="2024-09-06T00:00:00"/>
    <s v="CUST031"/>
    <x v="26"/>
    <s v="P005"/>
    <x v="1"/>
    <x v="1"/>
    <x v="0"/>
    <n v="59.99"/>
    <x v="1"/>
    <x v="0"/>
    <x v="1"/>
    <d v="2022-06-05T00:00:00"/>
    <n v="179.97"/>
    <n v="4"/>
    <d v="2026-10-08T11:58:49"/>
    <s v="ST"/>
    <d v="2024-09-30T00:00:00"/>
    <n v="0.1"/>
    <x v="1"/>
  </r>
  <r>
    <s v="TRX0142"/>
    <d v="2024-09-09T00:00:00"/>
    <s v="CUST002"/>
    <x v="25"/>
    <s v="P005"/>
    <x v="1"/>
    <x v="1"/>
    <x v="0"/>
    <n v="59.99"/>
    <x v="2"/>
    <x v="4"/>
    <x v="2"/>
    <d v="2022-07-06T00:00:00"/>
    <n v="179.97"/>
    <n v="4"/>
    <d v="2026-10-08T11:58:49"/>
    <s v="EW"/>
    <d v="2024-09-30T00:00:00"/>
    <n v="0.1"/>
    <x v="1"/>
  </r>
  <r>
    <s v="TRX0112"/>
    <d v="2024-09-09T00:00:00"/>
    <s v="CUST008"/>
    <x v="27"/>
    <s v="P004"/>
    <x v="7"/>
    <x v="1"/>
    <x v="4"/>
    <n v="79.989999999999995"/>
    <x v="0"/>
    <x v="2"/>
    <x v="0"/>
    <d v="2021-11-30T00:00:00"/>
    <n v="319.95999999999998"/>
    <n v="4"/>
    <d v="2026-10-08T11:58:49"/>
    <s v="JT"/>
    <d v="2024-09-30T00:00:00"/>
    <n v="0.1"/>
    <x v="40"/>
  </r>
  <r>
    <s v="TRX0161"/>
    <d v="2024-09-10T00:00:00"/>
    <s v="CUST017"/>
    <x v="6"/>
    <s v="P004"/>
    <x v="7"/>
    <x v="1"/>
    <x v="3"/>
    <n v="79.989999999999995"/>
    <x v="0"/>
    <x v="3"/>
    <x v="0"/>
    <d v="2022-05-12T00:00:00"/>
    <n v="79.989999999999995"/>
    <n v="4"/>
    <d v="2026-10-08T11:58:49"/>
    <s v="CA"/>
    <d v="2024-09-30T00:00:00"/>
    <n v="0.1"/>
    <x v="26"/>
  </r>
  <r>
    <s v="TRX0108"/>
    <d v="2024-09-12T00:00:00"/>
    <s v="CUST024"/>
    <x v="5"/>
    <s v="P007"/>
    <x v="6"/>
    <x v="2"/>
    <x v="0"/>
    <n v="299.99"/>
    <x v="1"/>
    <x v="0"/>
    <x v="1"/>
    <d v="2021-10-25T00:00:00"/>
    <n v="899.97"/>
    <n v="4"/>
    <d v="2026-10-08T11:58:49"/>
    <s v="DN"/>
    <d v="2024-09-30T00:00:00"/>
    <n v="0.1"/>
    <x v="23"/>
  </r>
  <r>
    <s v="TRX0211"/>
    <d v="2024-09-13T00:00:00"/>
    <s v="CUST046"/>
    <x v="3"/>
    <s v="P010"/>
    <x v="8"/>
    <x v="0"/>
    <x v="2"/>
    <n v="89.99"/>
    <x v="1"/>
    <x v="1"/>
    <x v="1"/>
    <d v="2022-03-21T00:00:00"/>
    <n v="179.98"/>
    <n v="4"/>
    <d v="2026-10-08T11:58:49"/>
    <s v="KB"/>
    <d v="2024-09-30T00:00:00"/>
    <n v="0.1"/>
    <x v="28"/>
  </r>
  <r>
    <s v="TRX0005"/>
    <d v="2024-09-15T00:00:00"/>
    <s v="CUST042"/>
    <x v="43"/>
    <s v="P003"/>
    <x v="3"/>
    <x v="0"/>
    <x v="4"/>
    <n v="149.99"/>
    <x v="0"/>
    <x v="2"/>
    <x v="0"/>
    <d v="2022-12-14T00:00:00"/>
    <n v="599.96"/>
    <n v="3"/>
    <d v="2026-10-08T11:58:49"/>
    <s v="RB"/>
    <d v="2024-09-30T00:00:00"/>
    <n v="0.1"/>
    <x v="9"/>
  </r>
  <r>
    <s v="TRX0195"/>
    <d v="2024-09-16T00:00:00"/>
    <s v="CUST026"/>
    <x v="8"/>
    <s v="P009"/>
    <x v="0"/>
    <x v="0"/>
    <x v="2"/>
    <n v="249.99"/>
    <x v="2"/>
    <x v="1"/>
    <x v="0"/>
    <d v="2023-03-08T00:00:00"/>
    <n v="499.98"/>
    <n v="3"/>
    <d v="2026-10-08T11:58:49"/>
    <s v="KH"/>
    <d v="2024-09-30T00:00:00"/>
    <n v="0.1"/>
    <x v="36"/>
  </r>
  <r>
    <s v="TRX0054"/>
    <d v="2024-09-16T00:00:00"/>
    <s v="CUST004"/>
    <x v="31"/>
    <s v="P006"/>
    <x v="9"/>
    <x v="2"/>
    <x v="4"/>
    <n v="199.99"/>
    <x v="3"/>
    <x v="4"/>
    <x v="0"/>
    <d v="2021-09-19T00:00:00"/>
    <n v="799.96"/>
    <n v="5"/>
    <d v="2026-10-08T11:58:49"/>
    <s v="SD"/>
    <d v="2024-09-30T00:00:00"/>
    <n v="0.1"/>
    <x v="37"/>
  </r>
  <r>
    <s v="TRX0077"/>
    <d v="2024-09-19T00:00:00"/>
    <s v="CUST019"/>
    <x v="29"/>
    <s v="P010"/>
    <x v="8"/>
    <x v="0"/>
    <x v="1"/>
    <n v="89.99"/>
    <x v="1"/>
    <x v="4"/>
    <x v="1"/>
    <d v="2021-09-07T00:00:00"/>
    <n v="449.95"/>
    <n v="5"/>
    <d v="2026-10-08T11:58:49"/>
    <s v="DK"/>
    <d v="2024-09-30T00:00:00"/>
    <n v="0.1"/>
    <x v="19"/>
  </r>
  <r>
    <s v="TRX0111"/>
    <d v="2024-09-19T00:00:00"/>
    <s v="CUST011"/>
    <x v="44"/>
    <s v="P003"/>
    <x v="3"/>
    <x v="0"/>
    <x v="3"/>
    <n v="149.99"/>
    <x v="2"/>
    <x v="4"/>
    <x v="2"/>
    <d v="2021-10-13T00:00:00"/>
    <n v="149.99"/>
    <n v="4"/>
    <d v="2026-10-08T11:58:49"/>
    <s v="WW"/>
    <d v="2024-09-30T00:00:00"/>
    <n v="0.1"/>
    <x v="5"/>
  </r>
  <r>
    <s v="TRX0123"/>
    <d v="2024-09-19T00:00:00"/>
    <s v="CUST041"/>
    <x v="10"/>
    <s v="P002"/>
    <x v="5"/>
    <x v="0"/>
    <x v="4"/>
    <n v="699.99"/>
    <x v="2"/>
    <x v="1"/>
    <x v="0"/>
    <d v="2022-02-26T00:00:00"/>
    <n v="2799.96"/>
    <n v="4"/>
    <d v="2026-10-08T11:58:49"/>
    <s v="PR"/>
    <d v="2024-09-30T00:00:00"/>
    <n v="0.1"/>
    <x v="13"/>
  </r>
  <r>
    <s v="TRX0177"/>
    <d v="2024-09-24T00:00:00"/>
    <s v="CUST032"/>
    <x v="42"/>
    <s v="P001"/>
    <x v="4"/>
    <x v="0"/>
    <x v="0"/>
    <n v="899.99"/>
    <x v="1"/>
    <x v="2"/>
    <x v="2"/>
    <d v="2023-08-19T00:00:00"/>
    <n v="2699.9700000000003"/>
    <n v="3"/>
    <d v="2026-10-08T11:58:49"/>
    <s v="SP"/>
    <d v="2024-09-30T00:00:00"/>
    <n v="0.1"/>
    <x v="4"/>
  </r>
  <r>
    <s v="TRX0119"/>
    <d v="2024-09-25T00:00:00"/>
    <s v="CUST014"/>
    <x v="21"/>
    <s v="P008"/>
    <x v="2"/>
    <x v="2"/>
    <x v="0"/>
    <n v="149.99"/>
    <x v="2"/>
    <x v="4"/>
    <x v="0"/>
    <d v="2022-11-21T00:00:00"/>
    <n v="449.97"/>
    <n v="3"/>
    <d v="2026-10-08T11:58:49"/>
    <s v="LM"/>
    <d v="2024-09-30T00:00:00"/>
    <n v="0.1"/>
    <x v="6"/>
  </r>
  <r>
    <s v="TRX0181"/>
    <d v="2024-09-28T00:00:00"/>
    <s v="CUST012"/>
    <x v="18"/>
    <s v="P007"/>
    <x v="6"/>
    <x v="2"/>
    <x v="2"/>
    <n v="299.99"/>
    <x v="3"/>
    <x v="0"/>
    <x v="0"/>
    <d v="2022-01-08T00:00:00"/>
    <n v="599.98"/>
    <n v="4"/>
    <d v="2026-10-08T11:58:49"/>
    <s v="PM"/>
    <d v="2024-09-30T00:00:00"/>
    <n v="0.1"/>
    <x v="31"/>
  </r>
  <r>
    <s v="TRX0129"/>
    <d v="2024-09-29T00:00:00"/>
    <s v="CUST015"/>
    <x v="45"/>
    <s v="P006"/>
    <x v="9"/>
    <x v="2"/>
    <x v="3"/>
    <n v="199.99"/>
    <x v="3"/>
    <x v="4"/>
    <x v="2"/>
    <d v="2023-01-27T00:00:00"/>
    <n v="199.99"/>
    <n v="3"/>
    <d v="2026-10-08T11:58:49"/>
    <s v="RL"/>
    <d v="2024-09-30T00:00:00"/>
    <n v="0.1"/>
    <x v="41"/>
  </r>
  <r>
    <s v="TRX0174"/>
    <d v="2024-10-01T00:00:00"/>
    <s v="CUST003"/>
    <x v="4"/>
    <s v="P007"/>
    <x v="6"/>
    <x v="2"/>
    <x v="4"/>
    <n v="299.99"/>
    <x v="0"/>
    <x v="0"/>
    <x v="1"/>
    <d v="2021-09-21T00:00:00"/>
    <n v="1199.96"/>
    <n v="5"/>
    <d v="2026-10-08T11:58:49"/>
    <s v="MB"/>
    <d v="2024-10-31T00:00:00"/>
    <n v="0.1"/>
    <x v="15"/>
  </r>
  <r>
    <s v="TRX0146"/>
    <d v="2024-10-07T00:00:00"/>
    <s v="CUST010"/>
    <x v="15"/>
    <s v="P005"/>
    <x v="1"/>
    <x v="1"/>
    <x v="2"/>
    <n v="59.99"/>
    <x v="1"/>
    <x v="0"/>
    <x v="0"/>
    <d v="2022-01-18T00:00:00"/>
    <n v="119.98"/>
    <n v="4"/>
    <d v="2026-10-08T11:58:49"/>
    <s v="MG"/>
    <d v="2024-10-31T00:00:00"/>
    <n v="0.1"/>
    <x v="3"/>
  </r>
  <r>
    <s v="TRX0203"/>
    <d v="2024-10-07T00:00:00"/>
    <s v="CUST032"/>
    <x v="42"/>
    <s v="P003"/>
    <x v="3"/>
    <x v="0"/>
    <x v="4"/>
    <n v="149.99"/>
    <x v="1"/>
    <x v="2"/>
    <x v="1"/>
    <d v="2023-05-30T00:00:00"/>
    <n v="599.96"/>
    <n v="3"/>
    <d v="2026-10-08T11:58:49"/>
    <s v="SP"/>
    <d v="2024-10-31T00:00:00"/>
    <n v="0.1"/>
    <x v="9"/>
  </r>
  <r>
    <s v="TRX0055"/>
    <d v="2024-10-08T00:00:00"/>
    <s v="CUST016"/>
    <x v="39"/>
    <s v="P002"/>
    <x v="5"/>
    <x v="0"/>
    <x v="2"/>
    <n v="699.99"/>
    <x v="3"/>
    <x v="4"/>
    <x v="1"/>
    <d v="2023-12-14T00:00:00"/>
    <n v="1399.98"/>
    <n v="2"/>
    <d v="2026-10-08T11:58:49"/>
    <s v="EH"/>
    <d v="2024-10-31T00:00:00"/>
    <n v="0.1"/>
    <x v="10"/>
  </r>
  <r>
    <s v="TRX0218"/>
    <d v="2024-10-08T00:00:00"/>
    <s v="CUST034"/>
    <x v="41"/>
    <s v="P008"/>
    <x v="2"/>
    <x v="2"/>
    <x v="0"/>
    <n v="149.99"/>
    <x v="1"/>
    <x v="1"/>
    <x v="2"/>
    <d v="2023-01-14T00:00:00"/>
    <n v="449.97"/>
    <n v="3"/>
    <d v="2026-10-08T11:58:49"/>
    <s v="CE"/>
    <d v="2024-10-31T00:00:00"/>
    <n v="0.1"/>
    <x v="6"/>
  </r>
  <r>
    <s v="TRX0085"/>
    <d v="2024-10-11T00:00:00"/>
    <s v="CUST019"/>
    <x v="29"/>
    <s v="P007"/>
    <x v="6"/>
    <x v="2"/>
    <x v="0"/>
    <n v="299.99"/>
    <x v="1"/>
    <x v="0"/>
    <x v="2"/>
    <d v="2023-09-05T00:00:00"/>
    <n v="899.97"/>
    <n v="3"/>
    <d v="2026-10-08T11:58:49"/>
    <s v="DK"/>
    <d v="2024-10-31T00:00:00"/>
    <n v="0.1"/>
    <x v="23"/>
  </r>
  <r>
    <s v="TRX0158"/>
    <d v="2024-10-14T00:00:00"/>
    <s v="CUST027"/>
    <x v="13"/>
    <s v="P001"/>
    <x v="4"/>
    <x v="0"/>
    <x v="0"/>
    <n v="899.99"/>
    <x v="2"/>
    <x v="3"/>
    <x v="0"/>
    <d v="2023-10-16T00:00:00"/>
    <n v="2699.9700000000003"/>
    <n v="2"/>
    <d v="2026-10-08T11:58:49"/>
    <s v="GA"/>
    <d v="2024-10-31T00:00:00"/>
    <n v="0.1"/>
    <x v="4"/>
  </r>
  <r>
    <s v="TRX0173"/>
    <d v="2024-10-16T00:00:00"/>
    <s v="CUST018"/>
    <x v="17"/>
    <s v="P002"/>
    <x v="5"/>
    <x v="0"/>
    <x v="1"/>
    <n v="699.99"/>
    <x v="0"/>
    <x v="4"/>
    <x v="2"/>
    <d v="2023-03-23T00:00:00"/>
    <n v="3499.95"/>
    <n v="3"/>
    <d v="2026-10-08T11:58:49"/>
    <s v="BY"/>
    <d v="2024-10-31T00:00:00"/>
    <n v="0.1"/>
    <x v="12"/>
  </r>
  <r>
    <s v="TRX0034"/>
    <d v="2024-10-16T00:00:00"/>
    <s v="CUST049"/>
    <x v="34"/>
    <s v="P002"/>
    <x v="5"/>
    <x v="0"/>
    <x v="4"/>
    <n v="699.99"/>
    <x v="1"/>
    <x v="0"/>
    <x v="0"/>
    <d v="2024-04-03T00:00:00"/>
    <n v="2799.96"/>
    <n v="2"/>
    <d v="2026-10-08T11:58:49"/>
    <s v="RR"/>
    <d v="2024-10-31T00:00:00"/>
    <n v="0.1"/>
    <x v="13"/>
  </r>
  <r>
    <s v="TRX0189"/>
    <d v="2024-10-16T00:00:00"/>
    <s v="CUST040"/>
    <x v="30"/>
    <s v="P001"/>
    <x v="4"/>
    <x v="0"/>
    <x v="3"/>
    <n v="899.99"/>
    <x v="1"/>
    <x v="4"/>
    <x v="2"/>
    <d v="2024-03-18T00:00:00"/>
    <n v="899.99"/>
    <n v="2"/>
    <d v="2026-10-08T11:58:49"/>
    <s v="SB"/>
    <d v="2024-10-31T00:00:00"/>
    <n v="0.1"/>
    <x v="8"/>
  </r>
  <r>
    <s v="TRX0190"/>
    <d v="2024-10-18T00:00:00"/>
    <s v="CUST039"/>
    <x v="40"/>
    <s v="P003"/>
    <x v="3"/>
    <x v="0"/>
    <x v="2"/>
    <n v="149.99"/>
    <x v="1"/>
    <x v="3"/>
    <x v="0"/>
    <d v="2022-12-21T00:00:00"/>
    <n v="299.98"/>
    <n v="3"/>
    <d v="2026-10-08T11:58:49"/>
    <s v="LR"/>
    <d v="2024-10-31T00:00:00"/>
    <n v="0.1"/>
    <x v="22"/>
  </r>
  <r>
    <s v="TRX0079"/>
    <d v="2024-10-21T00:00:00"/>
    <s v="CUST039"/>
    <x v="40"/>
    <s v="P010"/>
    <x v="8"/>
    <x v="0"/>
    <x v="0"/>
    <n v="89.99"/>
    <x v="2"/>
    <x v="0"/>
    <x v="0"/>
    <d v="2021-12-21T00:00:00"/>
    <n v="269.96999999999997"/>
    <n v="4"/>
    <d v="2026-10-08T11:58:49"/>
    <s v="LR"/>
    <d v="2024-10-31T00:00:00"/>
    <n v="0.1"/>
    <x v="25"/>
  </r>
  <r>
    <s v="TRX0095"/>
    <d v="2024-10-23T00:00:00"/>
    <s v="CUST046"/>
    <x v="3"/>
    <s v="P003"/>
    <x v="3"/>
    <x v="0"/>
    <x v="2"/>
    <n v="149.99"/>
    <x v="2"/>
    <x v="0"/>
    <x v="0"/>
    <d v="2021-10-04T00:00:00"/>
    <n v="299.98"/>
    <n v="5"/>
    <d v="2026-10-08T11:58:49"/>
    <s v="KB"/>
    <d v="2024-10-31T00:00:00"/>
    <n v="0.1"/>
    <x v="22"/>
  </r>
  <r>
    <s v="TRX0009"/>
    <d v="2024-10-23T00:00:00"/>
    <s v="CUST004"/>
    <x v="31"/>
    <s v="P002"/>
    <x v="5"/>
    <x v="0"/>
    <x v="2"/>
    <n v="699.99"/>
    <x v="0"/>
    <x v="0"/>
    <x v="0"/>
    <d v="2023-03-07T00:00:00"/>
    <n v="1399.98"/>
    <n v="3"/>
    <d v="2026-10-08T11:58:49"/>
    <s v="SD"/>
    <d v="2024-10-31T00:00:00"/>
    <n v="0.1"/>
    <x v="10"/>
  </r>
  <r>
    <s v="TRX0167"/>
    <d v="2024-10-24T00:00:00"/>
    <s v="CUST028"/>
    <x v="32"/>
    <s v="P002"/>
    <x v="5"/>
    <x v="0"/>
    <x v="1"/>
    <n v="699.99"/>
    <x v="0"/>
    <x v="2"/>
    <x v="1"/>
    <d v="2022-03-15T00:00:00"/>
    <n v="3499.95"/>
    <n v="4"/>
    <d v="2026-10-08T11:58:49"/>
    <s v="BC"/>
    <d v="2024-10-31T00:00:00"/>
    <n v="0.1"/>
    <x v="12"/>
  </r>
  <r>
    <s v="TRX0153"/>
    <d v="2024-10-27T00:00:00"/>
    <s v="CUST049"/>
    <x v="34"/>
    <s v="P010"/>
    <x v="8"/>
    <x v="0"/>
    <x v="0"/>
    <n v="89.99"/>
    <x v="1"/>
    <x v="2"/>
    <x v="2"/>
    <d v="2022-02-23T00:00:00"/>
    <n v="269.96999999999997"/>
    <n v="4"/>
    <d v="2026-10-08T11:58:49"/>
    <s v="RR"/>
    <d v="2024-10-31T00:00:00"/>
    <n v="0.1"/>
    <x v="25"/>
  </r>
  <r>
    <s v="TRX0057"/>
    <d v="2024-11-01T00:00:00"/>
    <s v="CUST023"/>
    <x v="0"/>
    <s v="P009"/>
    <x v="0"/>
    <x v="0"/>
    <x v="1"/>
    <n v="249.99"/>
    <x v="1"/>
    <x v="1"/>
    <x v="2"/>
    <d v="2022-11-16T00:00:00"/>
    <n v="1249.95"/>
    <n v="3"/>
    <d v="2026-10-08T11:58:49"/>
    <s v="PB"/>
    <d v="2024-11-30T00:00:00"/>
    <n v="0.1"/>
    <x v="16"/>
  </r>
  <r>
    <s v="TRX0017"/>
    <d v="2024-11-04T00:00:00"/>
    <s v="CUST026"/>
    <x v="8"/>
    <s v="P007"/>
    <x v="6"/>
    <x v="2"/>
    <x v="0"/>
    <n v="299.99"/>
    <x v="1"/>
    <x v="1"/>
    <x v="2"/>
    <d v="2021-11-02T00:00:00"/>
    <n v="899.97"/>
    <n v="4"/>
    <d v="2026-10-08T11:58:49"/>
    <s v="KH"/>
    <d v="2024-11-30T00:00:00"/>
    <n v="0.1"/>
    <x v="23"/>
  </r>
  <r>
    <s v="TRX0060"/>
    <d v="2024-11-07T00:00:00"/>
    <s v="CUST012"/>
    <x v="18"/>
    <s v="P010"/>
    <x v="8"/>
    <x v="0"/>
    <x v="0"/>
    <n v="89.99"/>
    <x v="1"/>
    <x v="2"/>
    <x v="1"/>
    <d v="2021-08-12T00:00:00"/>
    <n v="269.96999999999997"/>
    <n v="5"/>
    <d v="2026-10-08T11:58:49"/>
    <s v="PM"/>
    <d v="2024-11-30T00:00:00"/>
    <n v="0.1"/>
    <x v="25"/>
  </r>
  <r>
    <s v="TRX0109"/>
    <d v="2024-11-08T00:00:00"/>
    <s v="CUST010"/>
    <x v="15"/>
    <s v="P008"/>
    <x v="2"/>
    <x v="2"/>
    <x v="2"/>
    <n v="149.99"/>
    <x v="1"/>
    <x v="3"/>
    <x v="1"/>
    <d v="2022-10-14T00:00:00"/>
    <n v="299.98"/>
    <n v="3"/>
    <d v="2026-10-08T11:58:49"/>
    <s v="MG"/>
    <d v="2024-11-30T00:00:00"/>
    <n v="0.1"/>
    <x v="22"/>
  </r>
  <r>
    <s v="TRX0090"/>
    <d v="2024-11-09T00:00:00"/>
    <s v="CUST020"/>
    <x v="36"/>
    <s v="P009"/>
    <x v="0"/>
    <x v="0"/>
    <x v="3"/>
    <n v="249.99"/>
    <x v="1"/>
    <x v="2"/>
    <x v="1"/>
    <d v="2022-09-24T00:00:00"/>
    <n v="249.99"/>
    <n v="4"/>
    <d v="2026-10-08T11:58:49"/>
    <s v="MW"/>
    <d v="2024-11-30T00:00:00"/>
    <n v="0.1"/>
    <x v="39"/>
  </r>
  <r>
    <s v="TRX0035"/>
    <d v="2024-11-11T00:00:00"/>
    <s v="CUST041"/>
    <x v="10"/>
    <s v="P003"/>
    <x v="3"/>
    <x v="0"/>
    <x v="0"/>
    <n v="149.99"/>
    <x v="0"/>
    <x v="2"/>
    <x v="0"/>
    <d v="2022-07-27T00:00:00"/>
    <n v="449.97"/>
    <n v="4"/>
    <d v="2026-10-08T11:58:49"/>
    <s v="PR"/>
    <d v="2024-11-30T00:00:00"/>
    <n v="0.1"/>
    <x v="6"/>
  </r>
  <r>
    <s v="TRX0172"/>
    <d v="2024-11-11T00:00:00"/>
    <s v="CUST023"/>
    <x v="0"/>
    <s v="P005"/>
    <x v="1"/>
    <x v="1"/>
    <x v="1"/>
    <n v="59.99"/>
    <x v="2"/>
    <x v="3"/>
    <x v="1"/>
    <d v="2022-05-13T00:00:00"/>
    <n v="299.95"/>
    <n v="4"/>
    <d v="2026-10-08T11:58:49"/>
    <s v="PB"/>
    <d v="2024-11-30T00:00:00"/>
    <n v="0.1"/>
    <x v="42"/>
  </r>
  <r>
    <s v="TRX0076"/>
    <d v="2024-11-11T00:00:00"/>
    <s v="CUST012"/>
    <x v="18"/>
    <s v="P009"/>
    <x v="0"/>
    <x v="0"/>
    <x v="4"/>
    <n v="249.99"/>
    <x v="1"/>
    <x v="3"/>
    <x v="2"/>
    <d v="2022-04-08T00:00:00"/>
    <n v="999.96"/>
    <n v="4"/>
    <d v="2026-10-08T11:58:49"/>
    <s v="PM"/>
    <d v="2024-11-30T00:00:00"/>
    <n v="0.1"/>
    <x v="14"/>
  </r>
  <r>
    <s v="TRX0210"/>
    <d v="2024-11-12T00:00:00"/>
    <s v="CUST004"/>
    <x v="31"/>
    <s v="P008"/>
    <x v="2"/>
    <x v="2"/>
    <x v="1"/>
    <n v="149.99"/>
    <x v="2"/>
    <x v="0"/>
    <x v="0"/>
    <d v="2022-12-06T00:00:00"/>
    <n v="749.95"/>
    <n v="3"/>
    <d v="2026-10-08T11:58:49"/>
    <s v="SD"/>
    <d v="2024-11-30T00:00:00"/>
    <n v="0.1"/>
    <x v="2"/>
  </r>
  <r>
    <s v="TRX0149"/>
    <d v="2024-11-12T00:00:00"/>
    <s v="CUST027"/>
    <x v="13"/>
    <s v="P005"/>
    <x v="1"/>
    <x v="1"/>
    <x v="0"/>
    <n v="59.99"/>
    <x v="3"/>
    <x v="1"/>
    <x v="2"/>
    <d v="2023-11-30T00:00:00"/>
    <n v="179.97"/>
    <n v="2"/>
    <d v="2026-10-08T11:58:49"/>
    <s v="GA"/>
    <d v="2024-11-30T00:00:00"/>
    <n v="0.1"/>
    <x v="1"/>
  </r>
  <r>
    <s v="TRX0073"/>
    <d v="2024-11-17T00:00:00"/>
    <s v="CUST032"/>
    <x v="42"/>
    <s v="P008"/>
    <x v="2"/>
    <x v="2"/>
    <x v="1"/>
    <n v="149.99"/>
    <x v="0"/>
    <x v="2"/>
    <x v="0"/>
    <d v="2022-11-04T00:00:00"/>
    <n v="749.95"/>
    <n v="3"/>
    <d v="2026-10-08T11:58:49"/>
    <s v="SP"/>
    <d v="2024-11-30T00:00:00"/>
    <n v="0.1"/>
    <x v="2"/>
  </r>
  <r>
    <s v="TRX0033"/>
    <d v="2024-11-17T00:00:00"/>
    <s v="CUST025"/>
    <x v="14"/>
    <s v="P002"/>
    <x v="5"/>
    <x v="0"/>
    <x v="2"/>
    <n v="699.99"/>
    <x v="2"/>
    <x v="3"/>
    <x v="2"/>
    <d v="2022-07-28T00:00:00"/>
    <n v="1399.98"/>
    <n v="4"/>
    <d v="2026-10-08T11:58:49"/>
    <s v="MC"/>
    <d v="2024-11-30T00:00:00"/>
    <n v="0.1"/>
    <x v="10"/>
  </r>
  <r>
    <s v="TRX0160"/>
    <d v="2024-11-21T00:00:00"/>
    <s v="CUST029"/>
    <x v="23"/>
    <s v="P006"/>
    <x v="9"/>
    <x v="2"/>
    <x v="4"/>
    <n v="199.99"/>
    <x v="3"/>
    <x v="0"/>
    <x v="1"/>
    <d v="2021-08-19T00:00:00"/>
    <n v="799.96"/>
    <n v="5"/>
    <d v="2026-10-08T11:58:49"/>
    <s v="EM"/>
    <d v="2024-11-30T00:00:00"/>
    <n v="0.1"/>
    <x v="37"/>
  </r>
  <r>
    <s v="TRX0145"/>
    <d v="2024-11-23T00:00:00"/>
    <s v="CUST033"/>
    <x v="37"/>
    <s v="P005"/>
    <x v="1"/>
    <x v="1"/>
    <x v="3"/>
    <n v="59.99"/>
    <x v="3"/>
    <x v="3"/>
    <x v="2"/>
    <d v="2021-12-30T00:00:00"/>
    <n v="59.99"/>
    <n v="4"/>
    <d v="2026-10-08T11:58:49"/>
    <s v="FT"/>
    <d v="2024-11-30T00:00:00"/>
    <n v="0.1"/>
    <x v="30"/>
  </r>
  <r>
    <s v="TRX0148"/>
    <d v="2024-11-23T00:00:00"/>
    <s v="CUST004"/>
    <x v="31"/>
    <s v="P002"/>
    <x v="5"/>
    <x v="0"/>
    <x v="0"/>
    <n v="699.99"/>
    <x v="2"/>
    <x v="3"/>
    <x v="2"/>
    <d v="2022-01-22T00:00:00"/>
    <n v="2099.9700000000003"/>
    <n v="4"/>
    <d v="2026-10-08T11:58:49"/>
    <s v="SD"/>
    <d v="2024-11-30T00:00:00"/>
    <n v="0.1"/>
    <x v="7"/>
  </r>
  <r>
    <s v="TRX0012"/>
    <d v="2024-11-26T00:00:00"/>
    <s v="CUST045"/>
    <x v="46"/>
    <s v="P009"/>
    <x v="0"/>
    <x v="0"/>
    <x v="1"/>
    <n v="249.99"/>
    <x v="1"/>
    <x v="2"/>
    <x v="0"/>
    <d v="2022-11-08T00:00:00"/>
    <n v="1249.95"/>
    <n v="3"/>
    <d v="2026-10-08T11:58:49"/>
    <s v="DW"/>
    <d v="2024-11-30T00:00:00"/>
    <n v="0.1"/>
    <x v="16"/>
  </r>
  <r>
    <s v="TRX0206"/>
    <d v="2024-11-27T00:00:00"/>
    <s v="CUST014"/>
    <x v="21"/>
    <s v="P008"/>
    <x v="2"/>
    <x v="2"/>
    <x v="2"/>
    <n v="149.99"/>
    <x v="0"/>
    <x v="1"/>
    <x v="2"/>
    <d v="2023-06-24T00:00:00"/>
    <n v="299.98"/>
    <n v="3"/>
    <d v="2026-10-08T11:58:49"/>
    <s v="LM"/>
    <d v="2024-11-30T00:00:00"/>
    <n v="0.1"/>
    <x v="22"/>
  </r>
  <r>
    <s v="TRX0045"/>
    <d v="2024-12-01T00:00:00"/>
    <s v="CUST021"/>
    <x v="2"/>
    <s v="P007"/>
    <x v="6"/>
    <x v="2"/>
    <x v="0"/>
    <n v="299.99"/>
    <x v="0"/>
    <x v="1"/>
    <x v="1"/>
    <d v="2022-04-08T00:00:00"/>
    <n v="899.97"/>
    <n v="4"/>
    <d v="2026-10-08T11:58:49"/>
    <s v="KS"/>
    <d v="2024-12-31T00:00:00"/>
    <n v="0.1"/>
    <x v="23"/>
  </r>
  <r>
    <s v="TRX0094"/>
    <d v="2024-12-01T00:00:00"/>
    <s v="CUST017"/>
    <x v="6"/>
    <s v="P009"/>
    <x v="0"/>
    <x v="0"/>
    <x v="1"/>
    <n v="249.99"/>
    <x v="0"/>
    <x v="0"/>
    <x v="1"/>
    <d v="2021-10-16T00:00:00"/>
    <n v="1249.95"/>
    <n v="4"/>
    <d v="2026-10-08T11:58:49"/>
    <s v="CA"/>
    <d v="2024-12-31T00:00:00"/>
    <n v="0.1"/>
    <x v="16"/>
  </r>
  <r>
    <s v="TRX0133"/>
    <d v="2024-12-01T00:00:00"/>
    <s v="CUST013"/>
    <x v="1"/>
    <s v="P003"/>
    <x v="3"/>
    <x v="0"/>
    <x v="2"/>
    <n v="149.99"/>
    <x v="0"/>
    <x v="1"/>
    <x v="1"/>
    <d v="2021-10-06T00:00:00"/>
    <n v="299.98"/>
    <n v="5"/>
    <d v="2026-10-08T11:58:49"/>
    <s v="JJ"/>
    <d v="2024-12-31T00:00:00"/>
    <n v="0.1"/>
    <x v="22"/>
  </r>
  <r>
    <s v="TRX0201"/>
    <d v="2024-12-01T00:00:00"/>
    <s v="CUST025"/>
    <x v="14"/>
    <s v="P002"/>
    <x v="5"/>
    <x v="0"/>
    <x v="1"/>
    <n v="699.99"/>
    <x v="3"/>
    <x v="3"/>
    <x v="2"/>
    <d v="2023-01-18T00:00:00"/>
    <n v="3499.95"/>
    <n v="3"/>
    <d v="2026-10-08T11:58:49"/>
    <s v="MC"/>
    <d v="2024-12-31T00:00:00"/>
    <n v="0.1"/>
    <x v="12"/>
  </r>
  <r>
    <s v="TRX0137"/>
    <d v="2024-12-03T00:00:00"/>
    <s v="CUST011"/>
    <x v="44"/>
    <s v="P009"/>
    <x v="0"/>
    <x v="0"/>
    <x v="4"/>
    <n v="249.99"/>
    <x v="2"/>
    <x v="4"/>
    <x v="1"/>
    <d v="2023-06-21T00:00:00"/>
    <n v="999.96"/>
    <n v="3"/>
    <d v="2026-10-08T11:58:49"/>
    <s v="WW"/>
    <d v="2024-12-31T00:00:00"/>
    <n v="0.1"/>
    <x v="14"/>
  </r>
  <r>
    <s v="TRX0066"/>
    <d v="2024-12-04T00:00:00"/>
    <s v="CUST024"/>
    <x v="5"/>
    <s v="P002"/>
    <x v="5"/>
    <x v="0"/>
    <x v="4"/>
    <n v="699.99"/>
    <x v="1"/>
    <x v="2"/>
    <x v="1"/>
    <d v="2022-05-22T00:00:00"/>
    <n v="2799.96"/>
    <n v="4"/>
    <d v="2026-10-08T11:58:49"/>
    <s v="DN"/>
    <d v="2024-12-31T00:00:00"/>
    <n v="0.1"/>
    <x v="13"/>
  </r>
  <r>
    <s v="TRX0180"/>
    <d v="2024-12-09T00:00:00"/>
    <s v="CUST036"/>
    <x v="20"/>
    <s v="P009"/>
    <x v="0"/>
    <x v="0"/>
    <x v="2"/>
    <n v="249.99"/>
    <x v="1"/>
    <x v="0"/>
    <x v="1"/>
    <d v="2021-07-19T00:00:00"/>
    <n v="499.98"/>
    <n v="5"/>
    <d v="2026-10-08T11:58:49"/>
    <s v="NC"/>
    <d v="2024-12-31T00:00:00"/>
    <n v="0.1"/>
    <x v="36"/>
  </r>
  <r>
    <s v="TRX0082"/>
    <d v="2024-12-09T00:00:00"/>
    <s v="CUST005"/>
    <x v="47"/>
    <s v="P005"/>
    <x v="1"/>
    <x v="1"/>
    <x v="0"/>
    <n v="59.99"/>
    <x v="0"/>
    <x v="0"/>
    <x v="1"/>
    <d v="2023-05-06T00:00:00"/>
    <n v="179.97"/>
    <n v="3"/>
    <d v="2026-10-08T11:58:49"/>
    <s v="JJ"/>
    <d v="2024-12-31T00:00:00"/>
    <n v="0.1"/>
    <x v="1"/>
  </r>
  <r>
    <s v="TRX0036"/>
    <d v="2024-12-09T00:00:00"/>
    <s v="CUST008"/>
    <x v="27"/>
    <s v="P004"/>
    <x v="7"/>
    <x v="1"/>
    <x v="4"/>
    <n v="79.989999999999995"/>
    <x v="3"/>
    <x v="4"/>
    <x v="2"/>
    <d v="2022-12-26T00:00:00"/>
    <n v="319.95999999999998"/>
    <n v="3"/>
    <d v="2026-10-08T11:58:49"/>
    <s v="JT"/>
    <d v="2024-12-31T00:00:00"/>
    <n v="0.1"/>
    <x v="40"/>
  </r>
  <r>
    <s v="TRX0198"/>
    <d v="2024-12-10T00:00:00"/>
    <s v="CUST030"/>
    <x v="22"/>
    <s v="P004"/>
    <x v="7"/>
    <x v="1"/>
    <x v="0"/>
    <n v="79.989999999999995"/>
    <x v="3"/>
    <x v="4"/>
    <x v="2"/>
    <d v="2022-08-06T00:00:00"/>
    <n v="239.96999999999997"/>
    <n v="4"/>
    <d v="2026-10-08T11:58:49"/>
    <s v="HR"/>
    <d v="2024-12-31T00:00:00"/>
    <n v="0.1"/>
    <x v="18"/>
  </r>
  <r>
    <s v="TRX0032"/>
    <d v="2024-12-12T00:00:00"/>
    <s v="CUST041"/>
    <x v="10"/>
    <s v="P001"/>
    <x v="4"/>
    <x v="0"/>
    <x v="2"/>
    <n v="899.99"/>
    <x v="0"/>
    <x v="2"/>
    <x v="0"/>
    <d v="2021-07-29T00:00:00"/>
    <n v="1799.98"/>
    <n v="5"/>
    <d v="2026-10-08T11:58:49"/>
    <s v="PR"/>
    <d v="2024-12-31T00:00:00"/>
    <n v="0.1"/>
    <x v="43"/>
  </r>
  <r>
    <s v="TRX0081"/>
    <d v="2024-12-15T00:00:00"/>
    <s v="CUST007"/>
    <x v="35"/>
    <s v="P008"/>
    <x v="2"/>
    <x v="2"/>
    <x v="3"/>
    <n v="149.99"/>
    <x v="3"/>
    <x v="4"/>
    <x v="2"/>
    <d v="2023-10-01T00:00:00"/>
    <n v="149.99"/>
    <n v="3"/>
    <d v="2026-10-08T11:58:49"/>
    <s v="DM"/>
    <d v="2024-12-31T00:00:00"/>
    <n v="0.1"/>
    <x v="5"/>
  </r>
  <r>
    <s v="TRX0224"/>
    <d v="2024-12-15T00:00:00"/>
    <s v="CUST031"/>
    <x v="26"/>
    <s v="P007"/>
    <x v="6"/>
    <x v="2"/>
    <x v="2"/>
    <n v="299.99"/>
    <x v="0"/>
    <x v="4"/>
    <x v="1"/>
    <d v="2022-06-12T00:00:00"/>
    <n v="599.98"/>
    <n v="4"/>
    <d v="2026-10-08T11:58:49"/>
    <s v="ST"/>
    <d v="2024-12-31T00:00:00"/>
    <n v="0.1"/>
    <x v="31"/>
  </r>
  <r>
    <s v="TRX0028"/>
    <d v="2024-12-18T00:00:00"/>
    <s v="CUST002"/>
    <x v="25"/>
    <s v="P005"/>
    <x v="1"/>
    <x v="1"/>
    <x v="2"/>
    <n v="59.99"/>
    <x v="0"/>
    <x v="3"/>
    <x v="0"/>
    <d v="2023-09-22T00:00:00"/>
    <n v="119.98"/>
    <n v="3"/>
    <d v="2026-10-08T11:58:49"/>
    <s v="EW"/>
    <d v="2024-12-31T00:00:00"/>
    <n v="0.1"/>
    <x v="3"/>
  </r>
  <r>
    <s v="TRX0183"/>
    <d v="2024-12-19T00:00:00"/>
    <s v="CUST007"/>
    <x v="35"/>
    <s v="P010"/>
    <x v="8"/>
    <x v="0"/>
    <x v="3"/>
    <n v="89.99"/>
    <x v="3"/>
    <x v="0"/>
    <x v="2"/>
    <d v="2022-07-18T00:00:00"/>
    <n v="89.99"/>
    <n v="4"/>
    <d v="2026-10-08T11:58:49"/>
    <s v="DM"/>
    <d v="2024-12-31T00:00:00"/>
    <n v="0.1"/>
    <x v="27"/>
  </r>
  <r>
    <s v="TRX0163"/>
    <d v="2024-12-19T00:00:00"/>
    <s v="CUST019"/>
    <x v="29"/>
    <s v="P001"/>
    <x v="4"/>
    <x v="0"/>
    <x v="1"/>
    <n v="899.99"/>
    <x v="3"/>
    <x v="4"/>
    <x v="2"/>
    <d v="2022-03-05T00:00:00"/>
    <n v="4499.95"/>
    <n v="4"/>
    <d v="2026-10-08T11:58:49"/>
    <s v="DK"/>
    <d v="2024-12-31T00:00:00"/>
    <n v="0.1"/>
    <x v="29"/>
  </r>
  <r>
    <s v="TRX0046"/>
    <d v="2024-12-20T00:00:00"/>
    <s v="CUST003"/>
    <x v="4"/>
    <s v="P008"/>
    <x v="2"/>
    <x v="2"/>
    <x v="2"/>
    <n v="149.99"/>
    <x v="0"/>
    <x v="1"/>
    <x v="0"/>
    <d v="2023-11-09T00:00:00"/>
    <n v="299.98"/>
    <n v="2"/>
    <d v="2026-10-08T11:58:49"/>
    <s v="MB"/>
    <d v="2024-12-31T00:00:00"/>
    <n v="0.1"/>
    <x v="22"/>
  </r>
  <r>
    <s v="TRX0164"/>
    <d v="2024-12-22T00:00:00"/>
    <s v="CUST014"/>
    <x v="21"/>
    <s v="P003"/>
    <x v="3"/>
    <x v="0"/>
    <x v="2"/>
    <n v="149.99"/>
    <x v="3"/>
    <x v="3"/>
    <x v="1"/>
    <d v="2023-12-20T00:00:00"/>
    <n v="299.98"/>
    <n v="2"/>
    <d v="2026-10-08T11:58:49"/>
    <s v="LM"/>
    <d v="2024-12-31T00:00:00"/>
    <n v="0.1"/>
    <x v="22"/>
  </r>
  <r>
    <s v="TRX0008"/>
    <d v="2024-12-22T00:00:00"/>
    <s v="CUST007"/>
    <x v="35"/>
    <s v="P008"/>
    <x v="2"/>
    <x v="2"/>
    <x v="0"/>
    <n v="149.99"/>
    <x v="3"/>
    <x v="2"/>
    <x v="2"/>
    <d v="2021-11-22T00:00:00"/>
    <n v="449.97"/>
    <n v="4"/>
    <d v="2026-10-08T11:58:49"/>
    <s v="DM"/>
    <d v="2024-12-31T00:00:00"/>
    <n v="0.1"/>
    <x v="6"/>
  </r>
  <r>
    <s v="TRX0171"/>
    <d v="2024-12-23T00:00:00"/>
    <s v="CUST021"/>
    <x v="2"/>
    <s v="P007"/>
    <x v="6"/>
    <x v="2"/>
    <x v="2"/>
    <n v="299.99"/>
    <x v="2"/>
    <x v="1"/>
    <x v="0"/>
    <d v="2022-06-09T00:00:00"/>
    <n v="599.98"/>
    <n v="4"/>
    <d v="2026-10-08T11:58:49"/>
    <s v="KS"/>
    <d v="2024-12-31T00:00:00"/>
    <n v="0.1"/>
    <x v="31"/>
  </r>
  <r>
    <s v="TRX0143"/>
    <d v="2024-12-28T00:00:00"/>
    <s v="CUST003"/>
    <x v="4"/>
    <s v="P007"/>
    <x v="6"/>
    <x v="2"/>
    <x v="2"/>
    <n v="299.99"/>
    <x v="0"/>
    <x v="3"/>
    <x v="0"/>
    <d v="2022-07-29T00:00:00"/>
    <n v="599.98"/>
    <n v="4"/>
    <d v="2026-10-08T11:58:49"/>
    <s v="MB"/>
    <d v="2024-12-31T00:00:00"/>
    <n v="0.1"/>
    <x v="31"/>
  </r>
  <r>
    <s v="TRX0165"/>
    <d v="2024-12-28T00:00:00"/>
    <s v="CUST030"/>
    <x v="22"/>
    <s v="P006"/>
    <x v="9"/>
    <x v="2"/>
    <x v="4"/>
    <n v="199.99"/>
    <x v="1"/>
    <x v="0"/>
    <x v="0"/>
    <d v="2021-11-23T00:00:00"/>
    <n v="799.96"/>
    <n v="4"/>
    <d v="2026-10-08T11:58:49"/>
    <s v="HR"/>
    <d v="2024-12-31T00:00:00"/>
    <n v="0.1"/>
    <x v="37"/>
  </r>
  <r>
    <s v="TRX0156"/>
    <d v="2024-12-29T00:00:00"/>
    <s v="CUST009"/>
    <x v="7"/>
    <s v="P010"/>
    <x v="8"/>
    <x v="0"/>
    <x v="3"/>
    <n v="89.99"/>
    <x v="1"/>
    <x v="1"/>
    <x v="1"/>
    <d v="2022-01-30T00:00:00"/>
    <n v="89.99"/>
    <n v="4"/>
    <d v="2026-10-08T11:58:49"/>
    <s v="RT"/>
    <d v="2024-12-31T00:00:00"/>
    <n v="0.1"/>
    <x v="27"/>
  </r>
  <r>
    <s v="TRX0147"/>
    <d v="2024-12-29T00:00:00"/>
    <s v="CUST036"/>
    <x v="20"/>
    <s v="P008"/>
    <x v="2"/>
    <x v="2"/>
    <x v="1"/>
    <n v="149.99"/>
    <x v="0"/>
    <x v="0"/>
    <x v="1"/>
    <d v="2024-02-25T00:00:00"/>
    <n v="749.95"/>
    <n v="2"/>
    <d v="2026-10-08T11:58:49"/>
    <s v="NC"/>
    <d v="2024-12-31T00:00:00"/>
    <n v="0.1"/>
    <x v="2"/>
  </r>
  <r>
    <s v="TRX0207"/>
    <d v="2024-12-31T00:00:00"/>
    <s v="CUST025"/>
    <x v="14"/>
    <s v="P001"/>
    <x v="4"/>
    <x v="0"/>
    <x v="3"/>
    <n v="899.99"/>
    <x v="2"/>
    <x v="2"/>
    <x v="1"/>
    <d v="2023-05-04T00:00:00"/>
    <n v="899.99"/>
    <n v="3"/>
    <d v="2026-10-08T11:58:49"/>
    <s v="MC"/>
    <d v="2024-12-31T00:00:00"/>
    <n v="0.1"/>
    <x v="8"/>
  </r>
  <r>
    <s v="TRX0056"/>
    <d v="2025-01-03T00:00:00"/>
    <s v="CUST019"/>
    <x v="29"/>
    <s v="P010"/>
    <x v="8"/>
    <x v="0"/>
    <x v="2"/>
    <n v="89.99"/>
    <x v="1"/>
    <x v="1"/>
    <x v="1"/>
    <d v="2022-01-03T00:00:00"/>
    <n v="179.98"/>
    <n v="4"/>
    <d v="2026-10-08T11:58:49"/>
    <s v="DK"/>
    <d v="2025-01-31T00:00:00"/>
    <n v="0.1"/>
    <x v="28"/>
  </r>
  <r>
    <s v="TRX0026"/>
    <d v="2025-01-04T00:00:00"/>
    <s v="CUST037"/>
    <x v="48"/>
    <s v="P001"/>
    <x v="4"/>
    <x v="0"/>
    <x v="3"/>
    <n v="899.99"/>
    <x v="2"/>
    <x v="2"/>
    <x v="2"/>
    <d v="2022-07-10T00:00:00"/>
    <n v="899.99"/>
    <n v="4"/>
    <d v="2026-10-08T11:58:49"/>
    <s v="AE"/>
    <d v="2025-01-31T00:00:00"/>
    <n v="0.1"/>
    <x v="8"/>
  </r>
  <r>
    <s v="TRX0237"/>
    <d v="2025-01-06T00:00:00"/>
    <s v="CUST006"/>
    <x v="24"/>
    <s v="P003"/>
    <x v="3"/>
    <x v="0"/>
    <x v="1"/>
    <n v="149.99"/>
    <x v="2"/>
    <x v="4"/>
    <x v="1"/>
    <d v="2022-09-20T00:00:00"/>
    <n v="749.95"/>
    <n v="4"/>
    <d v="2026-10-08T11:58:49"/>
    <s v="LA"/>
    <d v="2025-01-31T00:00:00"/>
    <n v="0.1"/>
    <x v="2"/>
  </r>
  <r>
    <s v="TRX0091"/>
    <d v="2025-01-06T00:00:00"/>
    <s v="CUST003"/>
    <x v="4"/>
    <s v="P007"/>
    <x v="6"/>
    <x v="2"/>
    <x v="0"/>
    <n v="299.99"/>
    <x v="0"/>
    <x v="1"/>
    <x v="2"/>
    <d v="2021-08-14T00:00:00"/>
    <n v="899.97"/>
    <n v="5"/>
    <d v="2026-10-08T11:58:49"/>
    <s v="MB"/>
    <d v="2025-01-31T00:00:00"/>
    <n v="0.1"/>
    <x v="23"/>
  </r>
  <r>
    <s v="TRX0125"/>
    <d v="2025-01-09T00:00:00"/>
    <s v="CUST026"/>
    <x v="8"/>
    <s v="P002"/>
    <x v="5"/>
    <x v="0"/>
    <x v="0"/>
    <n v="699.99"/>
    <x v="1"/>
    <x v="0"/>
    <x v="1"/>
    <d v="2023-06-28T00:00:00"/>
    <n v="2099.9700000000003"/>
    <n v="3"/>
    <d v="2026-10-08T11:58:49"/>
    <s v="KH"/>
    <d v="2025-01-31T00:00:00"/>
    <n v="0.1"/>
    <x v="7"/>
  </r>
  <r>
    <s v="TRX0223"/>
    <d v="2025-01-10T00:00:00"/>
    <s v="CUST036"/>
    <x v="20"/>
    <s v="P006"/>
    <x v="9"/>
    <x v="2"/>
    <x v="1"/>
    <n v="199.99"/>
    <x v="2"/>
    <x v="0"/>
    <x v="2"/>
    <d v="2022-03-13T00:00:00"/>
    <n v="999.95"/>
    <n v="4"/>
    <d v="2026-10-08T11:58:49"/>
    <s v="NC"/>
    <d v="2025-01-31T00:00:00"/>
    <n v="0.1"/>
    <x v="21"/>
  </r>
  <r>
    <s v="TRX0243"/>
    <d v="2025-01-10T00:00:00"/>
    <s v="CUST048"/>
    <x v="16"/>
    <s v="P009"/>
    <x v="0"/>
    <x v="0"/>
    <x v="1"/>
    <n v="249.99"/>
    <x v="1"/>
    <x v="1"/>
    <x v="0"/>
    <d v="2024-02-08T00:00:00"/>
    <n v="1249.95"/>
    <n v="2"/>
    <d v="2026-10-08T11:58:49"/>
    <s v="VS"/>
    <d v="2025-01-31T00:00:00"/>
    <n v="0.1"/>
    <x v="16"/>
  </r>
  <r>
    <s v="TRX0084"/>
    <d v="2025-01-11T00:00:00"/>
    <s v="CUST031"/>
    <x v="26"/>
    <s v="P003"/>
    <x v="3"/>
    <x v="0"/>
    <x v="4"/>
    <n v="149.99"/>
    <x v="3"/>
    <x v="4"/>
    <x v="2"/>
    <d v="2021-12-06T00:00:00"/>
    <n v="599.96"/>
    <n v="4"/>
    <d v="2026-10-08T11:58:49"/>
    <s v="ST"/>
    <d v="2025-01-31T00:00:00"/>
    <n v="0.1"/>
    <x v="9"/>
  </r>
  <r>
    <s v="TRX0238"/>
    <d v="2025-01-11T00:00:00"/>
    <s v="CUST038"/>
    <x v="12"/>
    <s v="P002"/>
    <x v="5"/>
    <x v="0"/>
    <x v="0"/>
    <n v="699.99"/>
    <x v="0"/>
    <x v="2"/>
    <x v="1"/>
    <d v="2022-02-10T00:00:00"/>
    <n v="2099.9700000000003"/>
    <n v="4"/>
    <d v="2026-10-08T11:58:49"/>
    <s v="MR"/>
    <d v="2025-01-31T00:00:00"/>
    <n v="0.1"/>
    <x v="7"/>
  </r>
  <r>
    <s v="TRX0102"/>
    <d v="2025-01-13T00:00:00"/>
    <s v="CUST045"/>
    <x v="46"/>
    <s v="P004"/>
    <x v="7"/>
    <x v="1"/>
    <x v="3"/>
    <n v="79.989999999999995"/>
    <x v="1"/>
    <x v="1"/>
    <x v="0"/>
    <d v="2024-01-31T00:00:00"/>
    <n v="79.989999999999995"/>
    <n v="2"/>
    <d v="2026-10-08T11:58:49"/>
    <s v="DW"/>
    <d v="2025-01-31T00:00:00"/>
    <n v="0.1"/>
    <x v="26"/>
  </r>
  <r>
    <s v="TRX0022"/>
    <d v="2025-01-13T00:00:00"/>
    <s v="CUST025"/>
    <x v="14"/>
    <s v="P007"/>
    <x v="6"/>
    <x v="2"/>
    <x v="3"/>
    <n v="299.99"/>
    <x v="1"/>
    <x v="2"/>
    <x v="0"/>
    <d v="2021-08-28T00:00:00"/>
    <n v="299.99"/>
    <n v="5"/>
    <d v="2026-10-08T11:58:49"/>
    <s v="MC"/>
    <d v="2025-01-31T00:00:00"/>
    <n v="0.1"/>
    <x v="34"/>
  </r>
  <r>
    <s v="TRX0087"/>
    <d v="2025-01-14T00:00:00"/>
    <s v="CUST028"/>
    <x v="32"/>
    <s v="P009"/>
    <x v="0"/>
    <x v="0"/>
    <x v="4"/>
    <n v="249.99"/>
    <x v="1"/>
    <x v="2"/>
    <x v="1"/>
    <d v="2021-09-21T00:00:00"/>
    <n v="999.96"/>
    <n v="5"/>
    <d v="2026-10-08T11:58:49"/>
    <s v="BC"/>
    <d v="2025-01-31T00:00:00"/>
    <n v="0.1"/>
    <x v="14"/>
  </r>
  <r>
    <s v="TRX0107"/>
    <d v="2025-01-14T00:00:00"/>
    <s v="CUST030"/>
    <x v="22"/>
    <s v="P003"/>
    <x v="3"/>
    <x v="0"/>
    <x v="2"/>
    <n v="149.99"/>
    <x v="0"/>
    <x v="2"/>
    <x v="2"/>
    <d v="2022-12-18T00:00:00"/>
    <n v="299.98"/>
    <n v="3"/>
    <d v="2026-10-08T11:58:49"/>
    <s v="HR"/>
    <d v="2025-01-31T00:00:00"/>
    <n v="0.1"/>
    <x v="22"/>
  </r>
  <r>
    <s v="TRX0051"/>
    <d v="2025-01-14T00:00:00"/>
    <s v="CUST032"/>
    <x v="42"/>
    <s v="P007"/>
    <x v="6"/>
    <x v="2"/>
    <x v="0"/>
    <n v="299.99"/>
    <x v="1"/>
    <x v="1"/>
    <x v="0"/>
    <d v="2023-10-05T00:00:00"/>
    <n v="899.97"/>
    <n v="3"/>
    <d v="2026-10-08T11:58:49"/>
    <s v="SP"/>
    <d v="2025-01-31T00:00:00"/>
    <n v="0.1"/>
    <x v="23"/>
  </r>
  <r>
    <s v="TRX0106"/>
    <d v="2025-01-16T00:00:00"/>
    <s v="CUST039"/>
    <x v="40"/>
    <s v="P006"/>
    <x v="9"/>
    <x v="2"/>
    <x v="4"/>
    <n v="199.99"/>
    <x v="3"/>
    <x v="1"/>
    <x v="2"/>
    <d v="2021-12-14T00:00:00"/>
    <n v="799.96"/>
    <n v="4"/>
    <d v="2026-10-08T11:58:49"/>
    <s v="LR"/>
    <d v="2025-01-31T00:00:00"/>
    <n v="0.1"/>
    <x v="37"/>
  </r>
  <r>
    <s v="TRX0059"/>
    <d v="2025-01-16T00:00:00"/>
    <s v="CUST016"/>
    <x v="39"/>
    <s v="P007"/>
    <x v="6"/>
    <x v="2"/>
    <x v="1"/>
    <n v="299.99"/>
    <x v="3"/>
    <x v="0"/>
    <x v="0"/>
    <d v="2021-08-23T00:00:00"/>
    <n v="1499.95"/>
    <n v="5"/>
    <d v="2026-10-08T11:58:49"/>
    <s v="EH"/>
    <d v="2025-01-31T00:00:00"/>
    <n v="0.1"/>
    <x v="17"/>
  </r>
  <r>
    <s v="TRX0072"/>
    <d v="2025-01-16T00:00:00"/>
    <s v="CUST009"/>
    <x v="7"/>
    <s v="P008"/>
    <x v="2"/>
    <x v="2"/>
    <x v="0"/>
    <n v="149.99"/>
    <x v="1"/>
    <x v="4"/>
    <x v="2"/>
    <d v="2021-07-18T00:00:00"/>
    <n v="449.97"/>
    <n v="5"/>
    <d v="2026-10-08T11:58:49"/>
    <s v="RT"/>
    <d v="2025-01-31T00:00:00"/>
    <n v="0.1"/>
    <x v="6"/>
  </r>
  <r>
    <s v="TRX0110"/>
    <d v="2025-01-19T00:00:00"/>
    <s v="CUST006"/>
    <x v="24"/>
    <s v="P005"/>
    <x v="1"/>
    <x v="1"/>
    <x v="1"/>
    <n v="59.99"/>
    <x v="3"/>
    <x v="4"/>
    <x v="0"/>
    <d v="2022-03-22T00:00:00"/>
    <n v="299.95"/>
    <n v="4"/>
    <d v="2026-10-08T11:58:49"/>
    <s v="LA"/>
    <d v="2025-01-31T00:00:00"/>
    <n v="0.1"/>
    <x v="42"/>
  </r>
  <r>
    <s v="TRX0126"/>
    <d v="2025-01-25T00:00:00"/>
    <s v="CUST022"/>
    <x v="9"/>
    <s v="P005"/>
    <x v="1"/>
    <x v="1"/>
    <x v="4"/>
    <n v="59.99"/>
    <x v="3"/>
    <x v="4"/>
    <x v="2"/>
    <d v="2022-01-03T00:00:00"/>
    <n v="239.96"/>
    <n v="4"/>
    <d v="2026-10-08T11:58:49"/>
    <s v="SG"/>
    <d v="2025-01-31T00:00:00"/>
    <n v="0.1"/>
    <x v="20"/>
  </r>
  <r>
    <s v="TRX0159"/>
    <d v="2025-01-26T00:00:00"/>
    <s v="CUST024"/>
    <x v="5"/>
    <s v="P009"/>
    <x v="0"/>
    <x v="0"/>
    <x v="4"/>
    <n v="249.99"/>
    <x v="3"/>
    <x v="0"/>
    <x v="1"/>
    <d v="2023-10-18T00:00:00"/>
    <n v="999.96"/>
    <n v="2"/>
    <d v="2026-10-08T11:58:49"/>
    <s v="DN"/>
    <d v="2025-01-31T00:00:00"/>
    <n v="0.1"/>
    <x v="14"/>
  </r>
  <r>
    <s v="TRX0030"/>
    <d v="2025-01-29T00:00:00"/>
    <s v="CUST011"/>
    <x v="44"/>
    <s v="P001"/>
    <x v="4"/>
    <x v="0"/>
    <x v="4"/>
    <n v="899.99"/>
    <x v="2"/>
    <x v="0"/>
    <x v="0"/>
    <d v="2022-06-22T00:00:00"/>
    <n v="3599.96"/>
    <n v="4"/>
    <d v="2026-10-08T11:58:49"/>
    <s v="WW"/>
    <d v="2025-01-31T00:00:00"/>
    <n v="0.1"/>
    <x v="11"/>
  </r>
  <r>
    <s v="TRX0178"/>
    <d v="2025-01-29T00:00:00"/>
    <s v="CUST025"/>
    <x v="14"/>
    <s v="P007"/>
    <x v="6"/>
    <x v="2"/>
    <x v="0"/>
    <n v="299.99"/>
    <x v="3"/>
    <x v="3"/>
    <x v="2"/>
    <d v="2023-01-26T00:00:00"/>
    <n v="899.97"/>
    <n v="3"/>
    <d v="2026-10-08T11:58:49"/>
    <s v="MC"/>
    <d v="2025-01-31T00:00:00"/>
    <n v="0.1"/>
    <x v="23"/>
  </r>
  <r>
    <s v="TRX0188"/>
    <d v="2025-01-29T00:00:00"/>
    <s v="CUST045"/>
    <x v="46"/>
    <s v="P002"/>
    <x v="5"/>
    <x v="0"/>
    <x v="2"/>
    <n v="699.99"/>
    <x v="3"/>
    <x v="0"/>
    <x v="1"/>
    <d v="2022-04-30T00:00:00"/>
    <n v="1399.98"/>
    <n v="4"/>
    <d v="2026-10-08T11:58:49"/>
    <s v="DW"/>
    <d v="2025-01-31T00:00:00"/>
    <n v="0.1"/>
    <x v="10"/>
  </r>
  <r>
    <s v="TRX0010"/>
    <d v="2025-01-31T00:00:00"/>
    <s v="CUST026"/>
    <x v="8"/>
    <s v="P002"/>
    <x v="5"/>
    <x v="0"/>
    <x v="4"/>
    <n v="699.99"/>
    <x v="3"/>
    <x v="3"/>
    <x v="1"/>
    <d v="2022-05-11T00:00:00"/>
    <n v="2799.96"/>
    <n v="4"/>
    <d v="2026-10-08T11:58:49"/>
    <s v="KH"/>
    <d v="2025-01-31T00:00:00"/>
    <n v="0.1"/>
    <x v="13"/>
  </r>
  <r>
    <s v="TRX0069"/>
    <d v="2025-01-31T00:00:00"/>
    <s v="CUST029"/>
    <x v="23"/>
    <s v="P010"/>
    <x v="8"/>
    <x v="0"/>
    <x v="2"/>
    <n v="89.99"/>
    <x v="3"/>
    <x v="1"/>
    <x v="0"/>
    <d v="2022-08-04T00:00:00"/>
    <n v="179.98"/>
    <n v="4"/>
    <d v="2026-10-08T11:58:49"/>
    <s v="EM"/>
    <d v="2025-01-31T00:00:00"/>
    <n v="0.1"/>
    <x v="28"/>
  </r>
  <r>
    <s v="TRX0166"/>
    <d v="2025-01-31T00:00:00"/>
    <s v="CUST003"/>
    <x v="4"/>
    <s v="P010"/>
    <x v="8"/>
    <x v="0"/>
    <x v="0"/>
    <n v="89.99"/>
    <x v="3"/>
    <x v="1"/>
    <x v="1"/>
    <d v="2024-01-16T00:00:00"/>
    <n v="269.96999999999997"/>
    <n v="2"/>
    <d v="2026-10-08T11:58:49"/>
    <s v="MB"/>
    <d v="2025-01-31T00:00:00"/>
    <n v="0.1"/>
    <x v="25"/>
  </r>
  <r>
    <s v="TRX0219"/>
    <d v="2025-02-04T00:00:00"/>
    <s v="CUST037"/>
    <x v="48"/>
    <s v="P005"/>
    <x v="1"/>
    <x v="1"/>
    <x v="3"/>
    <n v="59.99"/>
    <x v="3"/>
    <x v="0"/>
    <x v="2"/>
    <d v="2023-04-29T00:00:00"/>
    <n v="59.99"/>
    <n v="3"/>
    <d v="2026-10-08T11:58:49"/>
    <s v="AE"/>
    <d v="2025-02-28T00:00:00"/>
    <n v="0.1"/>
    <x v="30"/>
  </r>
  <r>
    <s v="TRX0024"/>
    <d v="2025-02-07T00:00:00"/>
    <s v="CUST042"/>
    <x v="43"/>
    <s v="P008"/>
    <x v="2"/>
    <x v="2"/>
    <x v="0"/>
    <n v="149.99"/>
    <x v="3"/>
    <x v="2"/>
    <x v="1"/>
    <d v="2022-01-03T00:00:00"/>
    <n v="449.97"/>
    <n v="4"/>
    <d v="2026-10-08T11:58:49"/>
    <s v="RB"/>
    <d v="2025-02-28T00:00:00"/>
    <n v="0.1"/>
    <x v="6"/>
  </r>
  <r>
    <s v="TRX0105"/>
    <d v="2025-02-07T00:00:00"/>
    <s v="CUST048"/>
    <x v="16"/>
    <s v="P007"/>
    <x v="6"/>
    <x v="2"/>
    <x v="1"/>
    <n v="299.99"/>
    <x v="1"/>
    <x v="1"/>
    <x v="0"/>
    <d v="2023-02-02T00:00:00"/>
    <n v="1499.95"/>
    <n v="3"/>
    <d v="2026-10-08T11:58:49"/>
    <s v="VS"/>
    <d v="2025-02-28T00:00:00"/>
    <n v="0.1"/>
    <x v="17"/>
  </r>
  <r>
    <s v="TRX0011"/>
    <d v="2025-02-08T00:00:00"/>
    <s v="CUST040"/>
    <x v="30"/>
    <s v="P005"/>
    <x v="1"/>
    <x v="1"/>
    <x v="1"/>
    <n v="59.99"/>
    <x v="3"/>
    <x v="0"/>
    <x v="2"/>
    <d v="2023-09-08T00:00:00"/>
    <n v="299.95"/>
    <n v="3"/>
    <d v="2026-10-08T11:58:49"/>
    <s v="SB"/>
    <d v="2025-02-28T00:00:00"/>
    <n v="0.1"/>
    <x v="42"/>
  </r>
  <r>
    <s v="TRX0187"/>
    <d v="2025-02-13T00:00:00"/>
    <s v="CUST036"/>
    <x v="20"/>
    <s v="P004"/>
    <x v="7"/>
    <x v="1"/>
    <x v="0"/>
    <n v="79.989999999999995"/>
    <x v="0"/>
    <x v="4"/>
    <x v="1"/>
    <d v="2021-08-28T00:00:00"/>
    <n v="239.96999999999997"/>
    <n v="5"/>
    <d v="2026-10-08T11:58:49"/>
    <s v="NC"/>
    <d v="2025-02-28T00:00:00"/>
    <n v="0.1"/>
    <x v="18"/>
  </r>
  <r>
    <s v="TRX0089"/>
    <d v="2025-02-16T00:00:00"/>
    <s v="CUST021"/>
    <x v="2"/>
    <s v="P006"/>
    <x v="9"/>
    <x v="2"/>
    <x v="0"/>
    <n v="199.99"/>
    <x v="0"/>
    <x v="0"/>
    <x v="0"/>
    <d v="2022-06-23T00:00:00"/>
    <n v="599.97"/>
    <n v="4"/>
    <d v="2026-10-08T11:58:49"/>
    <s v="KS"/>
    <d v="2025-02-28T00:00:00"/>
    <n v="0.1"/>
    <x v="24"/>
  </r>
  <r>
    <s v="TRX0196"/>
    <d v="2025-02-16T00:00:00"/>
    <s v="CUST023"/>
    <x v="0"/>
    <s v="P010"/>
    <x v="8"/>
    <x v="0"/>
    <x v="2"/>
    <n v="89.99"/>
    <x v="2"/>
    <x v="0"/>
    <x v="0"/>
    <d v="2023-11-27T00:00:00"/>
    <n v="179.98"/>
    <n v="2"/>
    <d v="2026-10-08T11:58:49"/>
    <s v="PB"/>
    <d v="2025-02-28T00:00:00"/>
    <n v="0.1"/>
    <x v="28"/>
  </r>
  <r>
    <s v="TRX0118"/>
    <d v="2025-02-17T00:00:00"/>
    <s v="CUST015"/>
    <x v="45"/>
    <s v="P008"/>
    <x v="2"/>
    <x v="2"/>
    <x v="2"/>
    <n v="149.99"/>
    <x v="0"/>
    <x v="1"/>
    <x v="1"/>
    <d v="2022-06-16T00:00:00"/>
    <n v="299.98"/>
    <n v="4"/>
    <d v="2026-10-08T11:58:49"/>
    <s v="RL"/>
    <d v="2025-02-28T00:00:00"/>
    <n v="0.1"/>
    <x v="22"/>
  </r>
  <r>
    <s v="TRX0179"/>
    <d v="2025-02-19T00:00:00"/>
    <s v="CUST029"/>
    <x v="23"/>
    <s v="P002"/>
    <x v="5"/>
    <x v="0"/>
    <x v="1"/>
    <n v="699.99"/>
    <x v="2"/>
    <x v="1"/>
    <x v="1"/>
    <d v="2024-03-01T00:00:00"/>
    <n v="3499.95"/>
    <n v="2"/>
    <d v="2026-10-08T11:58:49"/>
    <s v="EM"/>
    <d v="2025-02-28T00:00:00"/>
    <n v="0.1"/>
    <x v="12"/>
  </r>
  <r>
    <s v="TRX0168"/>
    <d v="2025-02-19T00:00:00"/>
    <s v="CUST003"/>
    <x v="4"/>
    <s v="P008"/>
    <x v="2"/>
    <x v="2"/>
    <x v="0"/>
    <n v="149.99"/>
    <x v="2"/>
    <x v="0"/>
    <x v="2"/>
    <d v="2022-03-13T00:00:00"/>
    <n v="449.97"/>
    <n v="4"/>
    <d v="2026-10-08T11:58:49"/>
    <s v="MB"/>
    <d v="2025-02-28T00:00:00"/>
    <n v="0.1"/>
    <x v="6"/>
  </r>
  <r>
    <s v="TRX0214"/>
    <d v="2025-02-20T00:00:00"/>
    <s v="CUST018"/>
    <x v="17"/>
    <s v="P001"/>
    <x v="4"/>
    <x v="0"/>
    <x v="0"/>
    <n v="899.99"/>
    <x v="0"/>
    <x v="4"/>
    <x v="2"/>
    <d v="2022-02-21T00:00:00"/>
    <n v="2699.9700000000003"/>
    <n v="4"/>
    <d v="2026-10-08T11:58:49"/>
    <s v="BY"/>
    <d v="2025-02-28T00:00:00"/>
    <n v="0.1"/>
    <x v="4"/>
  </r>
  <r>
    <s v="TRX0221"/>
    <d v="2025-02-20T00:00:00"/>
    <s v="CUST033"/>
    <x v="37"/>
    <s v="P006"/>
    <x v="9"/>
    <x v="2"/>
    <x v="0"/>
    <n v="199.99"/>
    <x v="0"/>
    <x v="3"/>
    <x v="1"/>
    <d v="2022-09-19T00:00:00"/>
    <n v="599.97"/>
    <n v="4"/>
    <d v="2026-10-08T11:58:49"/>
    <s v="FT"/>
    <d v="2025-02-28T00:00:00"/>
    <n v="0.1"/>
    <x v="24"/>
  </r>
  <r>
    <s v="TRX0083"/>
    <d v="2025-02-22T00:00:00"/>
    <s v="CUST017"/>
    <x v="6"/>
    <s v="P007"/>
    <x v="6"/>
    <x v="2"/>
    <x v="1"/>
    <n v="299.99"/>
    <x v="0"/>
    <x v="3"/>
    <x v="2"/>
    <d v="2023-08-04T00:00:00"/>
    <n v="1499.95"/>
    <n v="3"/>
    <d v="2026-10-08T11:58:49"/>
    <s v="CA"/>
    <d v="2025-02-28T00:00:00"/>
    <n v="0.1"/>
    <x v="17"/>
  </r>
  <r>
    <s v="TRX0151"/>
    <d v="2025-02-22T00:00:00"/>
    <s v="CUST040"/>
    <x v="30"/>
    <s v="P002"/>
    <x v="5"/>
    <x v="0"/>
    <x v="3"/>
    <n v="699.99"/>
    <x v="2"/>
    <x v="3"/>
    <x v="0"/>
    <d v="2023-01-08T00:00:00"/>
    <n v="699.99"/>
    <n v="3"/>
    <d v="2026-10-08T11:58:49"/>
    <s v="SB"/>
    <d v="2025-02-28T00:00:00"/>
    <n v="0.1"/>
    <x v="38"/>
  </r>
  <r>
    <s v="TRX0047"/>
    <d v="2025-02-23T00:00:00"/>
    <s v="CUST042"/>
    <x v="43"/>
    <s v="P002"/>
    <x v="5"/>
    <x v="0"/>
    <x v="3"/>
    <n v="699.99"/>
    <x v="0"/>
    <x v="2"/>
    <x v="1"/>
    <d v="2022-01-22T00:00:00"/>
    <n v="699.99"/>
    <n v="4"/>
    <d v="2026-10-08T11:58:49"/>
    <s v="RB"/>
    <d v="2025-02-28T00:00:00"/>
    <n v="0.1"/>
    <x v="38"/>
  </r>
  <r>
    <s v="TRX0200"/>
    <d v="2025-02-23T00:00:00"/>
    <s v="CUST037"/>
    <x v="48"/>
    <s v="P008"/>
    <x v="2"/>
    <x v="2"/>
    <x v="4"/>
    <n v="149.99"/>
    <x v="2"/>
    <x v="2"/>
    <x v="1"/>
    <d v="2021-08-04T00:00:00"/>
    <n v="599.96"/>
    <n v="5"/>
    <d v="2026-10-08T11:58:49"/>
    <s v="AE"/>
    <d v="2025-02-28T00:00:00"/>
    <n v="0.1"/>
    <x v="9"/>
  </r>
  <r>
    <s v="TRX0062"/>
    <d v="2025-02-23T00:00:00"/>
    <s v="CUST016"/>
    <x v="39"/>
    <s v="P010"/>
    <x v="8"/>
    <x v="0"/>
    <x v="1"/>
    <n v="89.99"/>
    <x v="2"/>
    <x v="3"/>
    <x v="1"/>
    <d v="2023-08-02T00:00:00"/>
    <n v="449.95"/>
    <n v="3"/>
    <d v="2026-10-08T11:58:49"/>
    <s v="EH"/>
    <d v="2025-02-28T00:00:00"/>
    <n v="0.1"/>
    <x v="19"/>
  </r>
  <r>
    <s v="TRX0182"/>
    <d v="2025-02-24T00:00:00"/>
    <s v="CUST031"/>
    <x v="26"/>
    <s v="P006"/>
    <x v="9"/>
    <x v="2"/>
    <x v="2"/>
    <n v="199.99"/>
    <x v="0"/>
    <x v="0"/>
    <x v="1"/>
    <d v="2022-01-12T00:00:00"/>
    <n v="399.98"/>
    <n v="4"/>
    <d v="2026-10-08T11:58:49"/>
    <s v="ST"/>
    <d v="2025-02-28T00:00:00"/>
    <n v="0.1"/>
    <x v="35"/>
  </r>
  <r>
    <s v="TRX0229"/>
    <d v="2025-02-27T00:00:00"/>
    <s v="CUST015"/>
    <x v="45"/>
    <s v="P005"/>
    <x v="1"/>
    <x v="1"/>
    <x v="4"/>
    <n v="59.99"/>
    <x v="0"/>
    <x v="3"/>
    <x v="2"/>
    <d v="2023-05-24T00:00:00"/>
    <n v="239.96"/>
    <n v="3"/>
    <d v="2026-10-08T11:58:49"/>
    <s v="RL"/>
    <d v="2025-02-28T00:00:00"/>
    <n v="0.1"/>
    <x v="20"/>
  </r>
  <r>
    <s v="TRX0048"/>
    <d v="2025-02-27T00:00:00"/>
    <s v="CUST048"/>
    <x v="16"/>
    <s v="P007"/>
    <x v="6"/>
    <x v="2"/>
    <x v="2"/>
    <n v="299.99"/>
    <x v="2"/>
    <x v="1"/>
    <x v="0"/>
    <d v="2022-01-15T00:00:00"/>
    <n v="599.98"/>
    <n v="4"/>
    <d v="2026-10-08T11:58:49"/>
    <s v="VS"/>
    <d v="2025-02-28T00:00:00"/>
    <n v="0.1"/>
    <x v="31"/>
  </r>
  <r>
    <s v="TRX0227"/>
    <d v="2025-03-02T00:00:00"/>
    <s v="CUST017"/>
    <x v="6"/>
    <s v="P008"/>
    <x v="2"/>
    <x v="2"/>
    <x v="2"/>
    <n v="149.99"/>
    <x v="0"/>
    <x v="0"/>
    <x v="0"/>
    <d v="2023-05-22T00:00:00"/>
    <n v="299.98"/>
    <n v="3"/>
    <d v="2026-10-08T11:58:49"/>
    <s v="CA"/>
    <d v="2025-03-31T00:00:00"/>
    <n v="0.1"/>
    <x v="22"/>
  </r>
  <r>
    <s v="TRX0226"/>
    <d v="2025-03-04T00:00:00"/>
    <s v="CUST039"/>
    <x v="40"/>
    <s v="P002"/>
    <x v="5"/>
    <x v="0"/>
    <x v="1"/>
    <n v="699.99"/>
    <x v="3"/>
    <x v="4"/>
    <x v="1"/>
    <d v="2023-08-23T00:00:00"/>
    <n v="3499.95"/>
    <n v="3"/>
    <d v="2026-10-08T11:58:49"/>
    <s v="LR"/>
    <d v="2025-03-31T00:00:00"/>
    <n v="0.1"/>
    <x v="12"/>
  </r>
  <r>
    <s v="TRX0053"/>
    <d v="2025-03-05T00:00:00"/>
    <s v="CUST043"/>
    <x v="11"/>
    <s v="P005"/>
    <x v="1"/>
    <x v="1"/>
    <x v="1"/>
    <n v="59.99"/>
    <x v="0"/>
    <x v="3"/>
    <x v="1"/>
    <d v="2023-12-31T00:00:00"/>
    <n v="299.95"/>
    <n v="2"/>
    <d v="2026-10-08T11:58:49"/>
    <s v="DG"/>
    <d v="2025-03-31T00:00:00"/>
    <n v="0.1"/>
    <x v="42"/>
  </r>
  <r>
    <s v="TRX0233"/>
    <d v="2025-03-07T00:00:00"/>
    <s v="CUST023"/>
    <x v="0"/>
    <s v="P010"/>
    <x v="8"/>
    <x v="0"/>
    <x v="2"/>
    <n v="89.99"/>
    <x v="1"/>
    <x v="3"/>
    <x v="1"/>
    <d v="2024-01-04T00:00:00"/>
    <n v="179.98"/>
    <n v="2"/>
    <d v="2026-10-08T11:58:49"/>
    <s v="PB"/>
    <d v="2025-03-31T00:00:00"/>
    <n v="0.1"/>
    <x v="28"/>
  </r>
  <r>
    <s v="TRX0175"/>
    <d v="2025-03-07T00:00:00"/>
    <s v="CUST030"/>
    <x v="22"/>
    <s v="P009"/>
    <x v="0"/>
    <x v="0"/>
    <x v="1"/>
    <n v="249.99"/>
    <x v="0"/>
    <x v="4"/>
    <x v="2"/>
    <d v="2021-12-10T00:00:00"/>
    <n v="1249.95"/>
    <n v="4"/>
    <d v="2026-10-08T11:58:49"/>
    <s v="HR"/>
    <d v="2025-03-31T00:00:00"/>
    <n v="0.1"/>
    <x v="16"/>
  </r>
  <r>
    <s v="TRX0186"/>
    <d v="2025-03-08T00:00:00"/>
    <s v="CUST039"/>
    <x v="40"/>
    <s v="P008"/>
    <x v="2"/>
    <x v="2"/>
    <x v="2"/>
    <n v="149.99"/>
    <x v="2"/>
    <x v="0"/>
    <x v="1"/>
    <d v="2022-03-12T00:00:00"/>
    <n v="299.98"/>
    <n v="4"/>
    <d v="2026-10-08T11:58:49"/>
    <s v="LR"/>
    <d v="2025-03-31T00:00:00"/>
    <n v="0.1"/>
    <x v="22"/>
  </r>
  <r>
    <s v="TRX0016"/>
    <d v="2025-03-08T00:00:00"/>
    <s v="CUST035"/>
    <x v="28"/>
    <s v="P001"/>
    <x v="4"/>
    <x v="0"/>
    <x v="1"/>
    <n v="899.99"/>
    <x v="2"/>
    <x v="4"/>
    <x v="1"/>
    <d v="2024-04-07T00:00:00"/>
    <n v="4499.95"/>
    <n v="2"/>
    <d v="2026-10-08T11:58:49"/>
    <s v="HM"/>
    <d v="2025-03-31T00:00:00"/>
    <n v="0.1"/>
    <x v="29"/>
  </r>
  <r>
    <s v="TRX0199"/>
    <d v="2025-03-08T00:00:00"/>
    <s v="CUST017"/>
    <x v="6"/>
    <s v="P008"/>
    <x v="2"/>
    <x v="2"/>
    <x v="4"/>
    <n v="149.99"/>
    <x v="0"/>
    <x v="0"/>
    <x v="2"/>
    <d v="2023-12-03T00:00:00"/>
    <n v="599.96"/>
    <n v="2"/>
    <d v="2026-10-08T11:58:49"/>
    <s v="CA"/>
    <d v="2025-03-31T00:00:00"/>
    <n v="0.1"/>
    <x v="9"/>
  </r>
  <r>
    <s v="TRX0038"/>
    <d v="2025-03-10T00:00:00"/>
    <s v="CUST035"/>
    <x v="28"/>
    <s v="P009"/>
    <x v="0"/>
    <x v="0"/>
    <x v="3"/>
    <n v="249.99"/>
    <x v="0"/>
    <x v="2"/>
    <x v="2"/>
    <d v="2023-07-10T00:00:00"/>
    <n v="249.99"/>
    <n v="3"/>
    <d v="2026-10-08T11:58:49"/>
    <s v="HM"/>
    <d v="2025-03-31T00:00:00"/>
    <n v="0.1"/>
    <x v="39"/>
  </r>
  <r>
    <s v="TRX0014"/>
    <d v="2025-03-18T00:00:00"/>
    <s v="CUST033"/>
    <x v="37"/>
    <s v="P005"/>
    <x v="1"/>
    <x v="1"/>
    <x v="2"/>
    <n v="59.99"/>
    <x v="1"/>
    <x v="3"/>
    <x v="0"/>
    <d v="2023-09-24T00:00:00"/>
    <n v="119.98"/>
    <n v="3"/>
    <d v="2026-10-08T11:58:49"/>
    <s v="FT"/>
    <d v="2025-03-31T00:00:00"/>
    <n v="0.1"/>
    <x v="3"/>
  </r>
  <r>
    <s v="TRX0003"/>
    <d v="2025-03-21T00:00:00"/>
    <s v="CUST002"/>
    <x v="25"/>
    <s v="P008"/>
    <x v="2"/>
    <x v="2"/>
    <x v="2"/>
    <n v="149.99"/>
    <x v="0"/>
    <x v="3"/>
    <x v="1"/>
    <d v="2023-11-03T00:00:00"/>
    <n v="299.98"/>
    <n v="2"/>
    <d v="2026-10-08T11:58:49"/>
    <s v="EW"/>
    <d v="2025-03-31T00:00:00"/>
    <n v="0.1"/>
    <x v="22"/>
  </r>
  <r>
    <s v="TRX0124"/>
    <d v="2025-03-21T00:00:00"/>
    <s v="CUST040"/>
    <x v="30"/>
    <s v="P001"/>
    <x v="4"/>
    <x v="0"/>
    <x v="0"/>
    <n v="899.99"/>
    <x v="3"/>
    <x v="2"/>
    <x v="1"/>
    <d v="2022-11-11T00:00:00"/>
    <n v="2699.9700000000003"/>
    <n v="3"/>
    <d v="2026-10-08T11:58:49"/>
    <s v="SB"/>
    <d v="2025-03-31T00:00:00"/>
    <n v="0.1"/>
    <x v="4"/>
  </r>
  <r>
    <s v="TRX0013"/>
    <d v="2025-03-21T00:00:00"/>
    <s v="CUST024"/>
    <x v="5"/>
    <s v="P001"/>
    <x v="4"/>
    <x v="0"/>
    <x v="0"/>
    <n v="899.99"/>
    <x v="2"/>
    <x v="2"/>
    <x v="0"/>
    <d v="2023-02-18T00:00:00"/>
    <n v="2699.9700000000003"/>
    <n v="3"/>
    <d v="2026-10-08T11:58:49"/>
    <s v="DN"/>
    <d v="2025-03-31T00:00:00"/>
    <n v="0.1"/>
    <x v="4"/>
  </r>
  <r>
    <s v="TRX0019"/>
    <d v="2025-03-23T00:00:00"/>
    <s v="CUST023"/>
    <x v="0"/>
    <s v="P007"/>
    <x v="6"/>
    <x v="2"/>
    <x v="0"/>
    <n v="299.99"/>
    <x v="1"/>
    <x v="3"/>
    <x v="1"/>
    <d v="2023-11-04T00:00:00"/>
    <n v="899.97"/>
    <n v="2"/>
    <d v="2026-10-08T11:58:49"/>
    <s v="PB"/>
    <d v="2025-03-31T00:00:00"/>
    <n v="0.1"/>
    <x v="23"/>
  </r>
  <r>
    <s v="TRX0050"/>
    <d v="2025-03-24T00:00:00"/>
    <s v="CUST001"/>
    <x v="49"/>
    <s v="P008"/>
    <x v="2"/>
    <x v="2"/>
    <x v="4"/>
    <n v="149.99"/>
    <x v="2"/>
    <x v="3"/>
    <x v="2"/>
    <d v="2021-12-30T00:00:00"/>
    <n v="599.96"/>
    <n v="4"/>
    <d v="2026-10-08T11:58:49"/>
    <s v="JS"/>
    <d v="2025-03-31T00:00:00"/>
    <n v="0.1"/>
    <x v="9"/>
  </r>
  <r>
    <s v="TRX0152"/>
    <d v="2025-03-27T00:00:00"/>
    <s v="CUST044"/>
    <x v="19"/>
    <s v="P004"/>
    <x v="7"/>
    <x v="1"/>
    <x v="4"/>
    <n v="79.989999999999995"/>
    <x v="1"/>
    <x v="0"/>
    <x v="0"/>
    <d v="2023-12-28T00:00:00"/>
    <n v="319.95999999999998"/>
    <n v="2"/>
    <d v="2026-10-08T11:58:49"/>
    <s v="CP"/>
    <d v="2025-03-31T00:00:00"/>
    <n v="0.1"/>
    <x v="40"/>
  </r>
  <r>
    <s v="TRX0213"/>
    <d v="2025-03-29T00:00:00"/>
    <s v="CUST020"/>
    <x v="36"/>
    <s v="P010"/>
    <x v="8"/>
    <x v="0"/>
    <x v="1"/>
    <n v="89.99"/>
    <x v="2"/>
    <x v="1"/>
    <x v="0"/>
    <d v="2022-05-23T00:00:00"/>
    <n v="449.95"/>
    <n v="4"/>
    <d v="2026-10-08T11:58:49"/>
    <s v="MW"/>
    <d v="2025-03-31T00:00:00"/>
    <n v="0.1"/>
    <x v="19"/>
  </r>
  <r>
    <s v="TRX0197"/>
    <d v="2025-03-30T00:00:00"/>
    <s v="CUST048"/>
    <x v="16"/>
    <s v="P008"/>
    <x v="2"/>
    <x v="2"/>
    <x v="0"/>
    <n v="149.99"/>
    <x v="2"/>
    <x v="0"/>
    <x v="2"/>
    <d v="2023-09-02T00:00:00"/>
    <n v="449.97"/>
    <n v="3"/>
    <d v="2026-10-08T11:58:49"/>
    <s v="VS"/>
    <d v="2025-03-31T00:00:00"/>
    <n v="0.1"/>
    <x v="6"/>
  </r>
  <r>
    <s v="TRX0250"/>
    <d v="2025-03-30T00:00:00"/>
    <s v="CUST026"/>
    <x v="8"/>
    <s v="P010"/>
    <x v="8"/>
    <x v="0"/>
    <x v="2"/>
    <n v="89.99"/>
    <x v="3"/>
    <x v="3"/>
    <x v="1"/>
    <d v="2021-11-22T00:00:00"/>
    <n v="179.98"/>
    <n v="4"/>
    <d v="2026-10-08T11:58:49"/>
    <s v="KH"/>
    <d v="2025-03-31T00:00:00"/>
    <n v="0.1"/>
    <x v="28"/>
  </r>
  <r>
    <s v="TRX0068"/>
    <d v="2025-04-01T00:00:00"/>
    <s v="CUST044"/>
    <x v="19"/>
    <s v="P002"/>
    <x v="5"/>
    <x v="0"/>
    <x v="2"/>
    <n v="699.99"/>
    <x v="2"/>
    <x v="2"/>
    <x v="2"/>
    <d v="2022-02-26T00:00:00"/>
    <n v="1399.98"/>
    <n v="4"/>
    <d v="2026-10-08T11:58:49"/>
    <s v="CP"/>
    <d v="2025-04-30T00:00:00"/>
    <n v="0.1"/>
    <x v="10"/>
  </r>
  <r>
    <s v="TRX0144"/>
    <d v="2025-04-02T00:00:00"/>
    <s v="CUST029"/>
    <x v="23"/>
    <s v="P001"/>
    <x v="4"/>
    <x v="0"/>
    <x v="0"/>
    <n v="899.99"/>
    <x v="0"/>
    <x v="0"/>
    <x v="2"/>
    <d v="2023-01-27T00:00:00"/>
    <n v="2699.9700000000003"/>
    <n v="3"/>
    <d v="2026-10-08T11:58:49"/>
    <s v="EM"/>
    <d v="2025-04-30T00:00:00"/>
    <n v="0.1"/>
    <x v="4"/>
  </r>
  <r>
    <s v="TRX0039"/>
    <d v="2025-04-08T00:00:00"/>
    <s v="CUST048"/>
    <x v="16"/>
    <s v="P004"/>
    <x v="7"/>
    <x v="1"/>
    <x v="0"/>
    <n v="79.989999999999995"/>
    <x v="1"/>
    <x v="2"/>
    <x v="0"/>
    <d v="2021-11-11T00:00:00"/>
    <n v="239.96999999999997"/>
    <n v="4"/>
    <d v="2026-10-08T11:58:49"/>
    <s v="VS"/>
    <d v="2025-04-30T00:00:00"/>
    <n v="0.1"/>
    <x v="18"/>
  </r>
  <r>
    <s v="TRX0116"/>
    <d v="2025-04-09T00:00:00"/>
    <s v="CUST009"/>
    <x v="7"/>
    <s v="P010"/>
    <x v="8"/>
    <x v="0"/>
    <x v="3"/>
    <n v="89.99"/>
    <x v="3"/>
    <x v="4"/>
    <x v="0"/>
    <d v="2024-02-24T00:00:00"/>
    <n v="89.99"/>
    <n v="2"/>
    <d v="2026-10-08T11:58:49"/>
    <s v="RT"/>
    <d v="2025-04-30T00:00:00"/>
    <n v="0.1"/>
    <x v="27"/>
  </r>
  <r>
    <s v="TRX0120"/>
    <d v="2025-04-11T00:00:00"/>
    <s v="CUST045"/>
    <x v="46"/>
    <s v="P002"/>
    <x v="5"/>
    <x v="0"/>
    <x v="0"/>
    <n v="699.99"/>
    <x v="2"/>
    <x v="2"/>
    <x v="0"/>
    <d v="2022-12-14T00:00:00"/>
    <n v="2099.9700000000003"/>
    <n v="3"/>
    <d v="2026-10-08T11:58:49"/>
    <s v="DW"/>
    <d v="2025-04-30T00:00:00"/>
    <n v="0.1"/>
    <x v="7"/>
  </r>
  <r>
    <s v="TRX0103"/>
    <d v="2025-04-11T00:00:00"/>
    <s v="CUST039"/>
    <x v="40"/>
    <s v="P010"/>
    <x v="8"/>
    <x v="0"/>
    <x v="2"/>
    <n v="89.99"/>
    <x v="3"/>
    <x v="4"/>
    <x v="0"/>
    <d v="2023-06-11T00:00:00"/>
    <n v="179.98"/>
    <n v="3"/>
    <d v="2026-10-08T11:58:49"/>
    <s v="LR"/>
    <d v="2025-04-30T00:00:00"/>
    <n v="0.1"/>
    <x v="28"/>
  </r>
  <r>
    <s v="TRX0064"/>
    <d v="2025-04-11T00:00:00"/>
    <s v="CUST031"/>
    <x v="26"/>
    <s v="P010"/>
    <x v="8"/>
    <x v="0"/>
    <x v="0"/>
    <n v="89.99"/>
    <x v="3"/>
    <x v="2"/>
    <x v="1"/>
    <d v="2022-11-13T00:00:00"/>
    <n v="269.96999999999997"/>
    <n v="3"/>
    <d v="2026-10-08T11:58:49"/>
    <s v="ST"/>
    <d v="2025-04-30T00:00:00"/>
    <n v="0.1"/>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424033-C0B2-4865-BF58-466A1A36C35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20" firstHeaderRow="1" firstDataRow="1" firstDataCol="1"/>
  <pivotFields count="20">
    <pivotField showAll="0"/>
    <pivotField numFmtId="14"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numFmtId="14" showAll="0"/>
    <pivotField dataField="1" numFmtId="164" showAll="0"/>
    <pivotField showAll="0"/>
    <pivotField numFmtId="22" showAll="0"/>
    <pivotField showAll="0"/>
    <pivotField numFmtId="14" showAll="0"/>
    <pivotField numFmtId="9" showAll="0"/>
    <pivotField numFmtId="164" showAll="0"/>
  </pivotFields>
  <rowFields count="1">
    <field x="9"/>
  </rowFields>
  <rowItems count="5">
    <i>
      <x/>
    </i>
    <i>
      <x v="1"/>
    </i>
    <i>
      <x v="2"/>
    </i>
    <i>
      <x v="3"/>
    </i>
    <i t="grand">
      <x/>
    </i>
  </rowItems>
  <colItems count="1">
    <i/>
  </colItems>
  <dataFields count="1">
    <dataField name="Sum of Total_Amount" fld="13" baseField="0" baseItem="0" numFmtId="164"/>
  </dataFields>
  <formats count="12">
    <format dxfId="12">
      <pivotArea type="all" dataOnly="0" outline="0" fieldPosition="0"/>
    </format>
    <format dxfId="11">
      <pivotArea outline="0" collapsedLevelsAreSubtotals="1" fieldPosition="0"/>
    </format>
    <format dxfId="10">
      <pivotArea field="9" type="button" dataOnly="0" labelOnly="1" outline="0" axis="axisRow" fieldPosition="0"/>
    </format>
    <format dxfId="9">
      <pivotArea dataOnly="0" labelOnly="1" fieldPosition="0">
        <references count="1">
          <reference field="9"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grandRow="1" outline="0" fieldPosition="0"/>
    </format>
    <format dxfId="1">
      <pivotArea dataOnly="0" labelOnly="1" outline="0" axis="axisValues"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 chart="5" format="9">
      <pivotArea type="data" outline="0" fieldPosition="0">
        <references count="2">
          <reference field="4294967294" count="1" selected="0">
            <x v="0"/>
          </reference>
          <reference field="9" count="1" selected="0">
            <x v="2"/>
          </reference>
        </references>
      </pivotArea>
    </chartFormat>
    <chartFormat chart="5"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3D85CB-93D7-45BA-8305-13490D6E472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H7" firstHeaderRow="1" firstDataRow="1" firstDataCol="1"/>
  <pivotFields count="20">
    <pivotField showAll="0"/>
    <pivotField numFmtId="14" showAll="0"/>
    <pivotField showAll="0"/>
    <pivotField showAll="0"/>
    <pivotField showAll="0"/>
    <pivotField showAll="0"/>
    <pivotField showAll="0"/>
    <pivotField showAll="0">
      <items count="6">
        <item x="3"/>
        <item x="2"/>
        <item x="0"/>
        <item x="4"/>
        <item x="1"/>
        <item t="default"/>
      </items>
    </pivotField>
    <pivotField showAll="0"/>
    <pivotField showAll="0">
      <items count="5">
        <item x="0"/>
        <item x="1"/>
        <item x="3"/>
        <item x="2"/>
        <item t="default"/>
      </items>
    </pivotField>
    <pivotField axis="axisRow" showAll="0">
      <items count="6">
        <item x="0"/>
        <item x="4"/>
        <item x="2"/>
        <item x="1"/>
        <item x="3"/>
        <item t="default"/>
      </items>
    </pivotField>
    <pivotField showAll="0"/>
    <pivotField numFmtId="14" showAll="0"/>
    <pivotField dataField="1" numFmtId="164" showAll="0"/>
    <pivotField showAll="0"/>
    <pivotField numFmtId="22" showAll="0"/>
    <pivotField showAll="0"/>
    <pivotField numFmtId="14" showAll="0"/>
    <pivotField numFmtId="9" showAll="0"/>
    <pivotField numFmtId="164" showAll="0"/>
  </pivotFields>
  <rowFields count="1">
    <field x="10"/>
  </rowFields>
  <rowItems count="6">
    <i>
      <x/>
    </i>
    <i>
      <x v="1"/>
    </i>
    <i>
      <x v="2"/>
    </i>
    <i>
      <x v="3"/>
    </i>
    <i>
      <x v="4"/>
    </i>
    <i t="grand">
      <x/>
    </i>
  </rowItems>
  <colItems count="1">
    <i/>
  </colItems>
  <dataFields count="1">
    <dataField name="Sum of Total_Amount" fld="13" baseField="0" baseItem="0" numFmtId="164"/>
  </dataFields>
  <formats count="12">
    <format dxfId="24">
      <pivotArea type="all" dataOnly="0" outline="0" fieldPosition="0"/>
    </format>
    <format dxfId="23">
      <pivotArea outline="0" collapsedLevelsAreSubtotals="1" fieldPosition="0"/>
    </format>
    <format dxfId="22">
      <pivotArea field="10" type="button" dataOnly="0" labelOnly="1" outline="0" axis="axisRow" fieldPosition="0"/>
    </format>
    <format dxfId="21">
      <pivotArea dataOnly="0" labelOnly="1" fieldPosition="0">
        <references count="1">
          <reference field="10" count="0"/>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fieldPosition="0">
        <references count="1">
          <reference field="10" count="0"/>
        </references>
      </pivotArea>
    </format>
    <format dxfId="14">
      <pivotArea dataOnly="0" labelOnly="1" grandRow="1" outline="0" fieldPosition="0"/>
    </format>
    <format dxfId="13">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A56C35-8A17-4AC0-BAF3-60844A59AC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12" firstHeaderRow="1" firstDataRow="1" firstDataCol="1"/>
  <pivotFields count="20">
    <pivotField showAll="0"/>
    <pivotField numFmtId="14" showAll="0"/>
    <pivotField showAll="0"/>
    <pivotField showAll="0"/>
    <pivotField showAll="0"/>
    <pivotField axis="axisRow" showAll="0" sortType="a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dataField="1" numFmtId="164" showAll="0"/>
    <pivotField showAll="0"/>
    <pivotField numFmtId="22" showAll="0"/>
    <pivotField showAll="0"/>
    <pivotField numFmtId="14" showAll="0"/>
    <pivotField numFmtId="9" showAll="0"/>
    <pivotField numFmtId="164" showAll="0"/>
  </pivotFields>
  <rowFields count="1">
    <field x="5"/>
  </rowFields>
  <rowItems count="11">
    <i>
      <x v="2"/>
    </i>
    <i>
      <x/>
    </i>
    <i>
      <x v="4"/>
    </i>
    <i>
      <x v="5"/>
    </i>
    <i>
      <x v="8"/>
    </i>
    <i>
      <x v="1"/>
    </i>
    <i>
      <x v="7"/>
    </i>
    <i>
      <x v="3"/>
    </i>
    <i>
      <x v="9"/>
    </i>
    <i>
      <x v="6"/>
    </i>
    <i t="grand">
      <x/>
    </i>
  </rowItems>
  <colItems count="1">
    <i/>
  </colItems>
  <dataFields count="1">
    <dataField name="Sum of Total_Amount" fld="13" baseField="0" baseItem="0" numFmtId="164"/>
  </dataFields>
  <formats count="12">
    <format dxfId="36">
      <pivotArea type="all" dataOnly="0" outline="0" fieldPosition="0"/>
    </format>
    <format dxfId="35">
      <pivotArea outline="0" collapsedLevelsAreSubtotals="1" fieldPosition="0"/>
    </format>
    <format dxfId="34">
      <pivotArea field="5" type="button" dataOnly="0" labelOnly="1" outline="0" axis="axisRow" fieldPosition="0"/>
    </format>
    <format dxfId="33">
      <pivotArea dataOnly="0" labelOnly="1" fieldPosition="0">
        <references count="1">
          <reference field="5"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5" type="button" dataOnly="0" labelOnly="1" outline="0" axis="axisRow" fieldPosition="0"/>
    </format>
    <format dxfId="27">
      <pivotArea dataOnly="0" labelOnly="1" fieldPosition="0">
        <references count="1">
          <reference field="5" count="0"/>
        </references>
      </pivotArea>
    </format>
    <format dxfId="26">
      <pivotArea dataOnly="0" labelOnly="1" grandRow="1" outline="0" fieldPosition="0"/>
    </format>
    <format dxfId="25">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FE4E81-7095-419B-BFE5-83B8E9FAB61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0:K26" firstHeaderRow="1" firstDataRow="2" firstDataCol="1"/>
  <pivotFields count="20">
    <pivotField showAll="0"/>
    <pivotField numFmtId="14" showAll="0"/>
    <pivotField showAll="0"/>
    <pivotField showAll="0"/>
    <pivotField showAll="0"/>
    <pivotField showAll="0"/>
    <pivotField showAll="0">
      <items count="4">
        <item x="1"/>
        <item x="0"/>
        <item x="2"/>
        <item t="default"/>
      </items>
    </pivotField>
    <pivotField showAll="0"/>
    <pivotField showAll="0"/>
    <pivotField axis="axisRow" showAll="0">
      <items count="5">
        <item x="0"/>
        <item x="1"/>
        <item x="3"/>
        <item x="2"/>
        <item t="default"/>
      </items>
    </pivotField>
    <pivotField showAll="0"/>
    <pivotField axis="axisCol" showAll="0">
      <items count="4">
        <item x="0"/>
        <item x="1"/>
        <item x="2"/>
        <item t="default"/>
      </items>
    </pivotField>
    <pivotField numFmtId="14" showAll="0"/>
    <pivotField dataField="1" numFmtId="164" showAll="0"/>
    <pivotField showAll="0"/>
    <pivotField numFmtId="22" showAll="0"/>
    <pivotField showAll="0"/>
    <pivotField numFmtId="14" showAll="0"/>
    <pivotField numFmtId="9" showAll="0"/>
    <pivotField numFmtId="164"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s>
  <rowFields count="1">
    <field x="9"/>
  </rowFields>
  <rowItems count="5">
    <i>
      <x/>
    </i>
    <i>
      <x v="1"/>
    </i>
    <i>
      <x v="2"/>
    </i>
    <i>
      <x v="3"/>
    </i>
    <i t="grand">
      <x/>
    </i>
  </rowItems>
  <colFields count="1">
    <field x="11"/>
  </colFields>
  <colItems count="4">
    <i>
      <x/>
    </i>
    <i>
      <x v="1"/>
    </i>
    <i>
      <x v="2"/>
    </i>
    <i t="grand">
      <x/>
    </i>
  </colItems>
  <dataFields count="1">
    <dataField name="Count of Total_Amount" fld="13" subtotal="count" baseField="9" baseItem="0"/>
  </dataFields>
  <formats count="2">
    <format dxfId="38">
      <pivotArea type="all" dataOnly="0" outline="0" fieldPosition="0"/>
    </format>
    <format dxfId="3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C45639-3905-48C7-8B17-AB98826E7AC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K17" firstHeaderRow="1" firstDataRow="2" firstDataCol="1"/>
  <pivotFields count="20">
    <pivotField showAll="0"/>
    <pivotField numFmtId="14" showAll="0"/>
    <pivotField showAll="0"/>
    <pivotField showAll="0"/>
    <pivotField showAll="0"/>
    <pivotField showAll="0">
      <items count="11">
        <item x="1"/>
        <item x="2"/>
        <item x="7"/>
        <item x="6"/>
        <item x="3"/>
        <item x="8"/>
        <item x="4"/>
        <item x="0"/>
        <item x="9"/>
        <item x="5"/>
        <item t="default"/>
      </items>
    </pivotField>
    <pivotField axis="axisCol" showAll="0">
      <items count="4">
        <item x="1"/>
        <item x="0"/>
        <item x="2"/>
        <item t="default"/>
      </items>
    </pivotField>
    <pivotField dataField="1" showAll="0"/>
    <pivotField showAll="0"/>
    <pivotField showAll="0"/>
    <pivotField axis="axisRow" showAll="0">
      <items count="6">
        <item x="0"/>
        <item x="4"/>
        <item x="2"/>
        <item x="1"/>
        <item x="3"/>
        <item t="default"/>
      </items>
    </pivotField>
    <pivotField showAll="0"/>
    <pivotField numFmtId="14" showAll="0"/>
    <pivotField numFmtId="164" showAll="0"/>
    <pivotField showAll="0"/>
    <pivotField numFmtId="22" showAll="0"/>
    <pivotField showAll="0"/>
    <pivotField numFmtId="14" showAll="0"/>
    <pivotField numFmtId="9" showAll="0"/>
    <pivotField numFmtId="164" showAll="0"/>
  </pivotFields>
  <rowFields count="1">
    <field x="10"/>
  </rowFields>
  <rowItems count="6">
    <i>
      <x/>
    </i>
    <i>
      <x v="1"/>
    </i>
    <i>
      <x v="2"/>
    </i>
    <i>
      <x v="3"/>
    </i>
    <i>
      <x v="4"/>
    </i>
    <i t="grand">
      <x/>
    </i>
  </rowItems>
  <colFields count="1">
    <field x="6"/>
  </colFields>
  <colItems count="4">
    <i>
      <x/>
    </i>
    <i>
      <x v="1"/>
    </i>
    <i>
      <x v="2"/>
    </i>
    <i t="grand">
      <x/>
    </i>
  </colItems>
  <dataFields count="1">
    <dataField name="Sum of Quantity" fld="7" baseField="0" baseItem="0"/>
  </dataFields>
  <formats count="20">
    <format dxfId="58">
      <pivotArea type="all" dataOnly="0" outline="0" fieldPosition="0"/>
    </format>
    <format dxfId="57">
      <pivotArea outline="0" collapsedLevelsAreSubtotals="1" fieldPosition="0"/>
    </format>
    <format dxfId="56">
      <pivotArea type="origin" dataOnly="0" labelOnly="1" outline="0" fieldPosition="0"/>
    </format>
    <format dxfId="55">
      <pivotArea field="6" type="button" dataOnly="0" labelOnly="1" outline="0" axis="axisCol" fieldPosition="0"/>
    </format>
    <format dxfId="54">
      <pivotArea type="topRight" dataOnly="0" labelOnly="1" outline="0" fieldPosition="0"/>
    </format>
    <format dxfId="53">
      <pivotArea field="10" type="button" dataOnly="0" labelOnly="1" outline="0" axis="axisRow" fieldPosition="0"/>
    </format>
    <format dxfId="52">
      <pivotArea dataOnly="0" labelOnly="1" fieldPosition="0">
        <references count="1">
          <reference field="10" count="0"/>
        </references>
      </pivotArea>
    </format>
    <format dxfId="51">
      <pivotArea dataOnly="0" labelOnly="1" grandRow="1" outline="0" fieldPosition="0"/>
    </format>
    <format dxfId="50">
      <pivotArea dataOnly="0" labelOnly="1" fieldPosition="0">
        <references count="1">
          <reference field="6" count="0"/>
        </references>
      </pivotArea>
    </format>
    <format dxfId="49">
      <pivotArea dataOnly="0" labelOnly="1" grandCol="1" outline="0" fieldPosition="0"/>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field="6" type="button" dataOnly="0" labelOnly="1" outline="0" axis="axisCol" fieldPosition="0"/>
    </format>
    <format dxfId="44">
      <pivotArea type="topRight" dataOnly="0" labelOnly="1" outline="0" fieldPosition="0"/>
    </format>
    <format dxfId="43">
      <pivotArea field="10" type="button" dataOnly="0" labelOnly="1" outline="0" axis="axisRow" fieldPosition="0"/>
    </format>
    <format dxfId="42">
      <pivotArea dataOnly="0" labelOnly="1" fieldPosition="0">
        <references count="1">
          <reference field="10" count="0"/>
        </references>
      </pivotArea>
    </format>
    <format dxfId="41">
      <pivotArea dataOnly="0" labelOnly="1" grandRow="1" outline="0" fieldPosition="0"/>
    </format>
    <format dxfId="40">
      <pivotArea dataOnly="0" labelOnly="1" fieldPosition="0">
        <references count="1">
          <reference field="6" count="0"/>
        </references>
      </pivotArea>
    </format>
    <format dxfId="3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645798-3F85-43D3-A3E3-46844FC02814}" name="PivotTable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D9:E22"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Total_Amount" fld="1" baseField="0" baseItem="0"/>
  </dataFields>
  <formats count="12">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grandRow="1" outline="0" fieldPosition="0"/>
    </format>
    <format dxfId="59">
      <pivotArea dataOnly="0" labelOnly="1" outline="0" axis="axisValues" fieldPosition="0"/>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projec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C68FED-CCCE-4D80-9206-2D91DCFF28B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1:K5" firstHeaderRow="1" firstDataRow="1" firstDataCol="1"/>
  <pivotFields count="20">
    <pivotField showAll="0"/>
    <pivotField numFmtId="14" showAll="0"/>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pivotField showAll="0"/>
    <pivotField axis="axisRow" showAll="0">
      <items count="4">
        <item x="0"/>
        <item x="1"/>
        <item x="2"/>
        <item t="default"/>
      </items>
    </pivotField>
    <pivotField numFmtId="14" showAll="0"/>
    <pivotField dataField="1" numFmtId="164" showAll="0"/>
    <pivotField showAll="0"/>
    <pivotField numFmtId="22" showAll="0"/>
    <pivotField showAll="0"/>
    <pivotField numFmtId="14" showAll="0"/>
    <pivotField numFmtId="9" showAll="0"/>
    <pivotField numFmtId="164" showAll="0"/>
  </pivotFields>
  <rowFields count="1">
    <field x="11"/>
  </rowFields>
  <rowItems count="4">
    <i>
      <x/>
    </i>
    <i>
      <x v="1"/>
    </i>
    <i>
      <x v="2"/>
    </i>
    <i t="grand">
      <x/>
    </i>
  </rowItems>
  <colItems count="1">
    <i/>
  </colItems>
  <dataFields count="1">
    <dataField name="Sum of Total_Amount" fld="13" baseField="0" baseItem="0" numFmtId="164"/>
  </dataFields>
  <formats count="12">
    <format dxfId="82">
      <pivotArea type="all" dataOnly="0" outline="0" fieldPosition="0"/>
    </format>
    <format dxfId="81">
      <pivotArea outline="0" collapsedLevelsAreSubtotals="1" fieldPosition="0"/>
    </format>
    <format dxfId="80">
      <pivotArea field="11" type="button" dataOnly="0" labelOnly="1" outline="0" axis="axisRow" fieldPosition="0"/>
    </format>
    <format dxfId="79">
      <pivotArea dataOnly="0" labelOnly="1" fieldPosition="0">
        <references count="1">
          <reference field="11" count="0"/>
        </references>
      </pivotArea>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11" type="button" dataOnly="0" labelOnly="1" outline="0" axis="axisRow" fieldPosition="0"/>
    </format>
    <format dxfId="73">
      <pivotArea dataOnly="0" labelOnly="1" fieldPosition="0">
        <references count="1">
          <reference field="11" count="0"/>
        </references>
      </pivotArea>
    </format>
    <format dxfId="72">
      <pivotArea dataOnly="0" labelOnly="1" grandRow="1" outline="0" fieldPosition="0"/>
    </format>
    <format dxfId="71">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2"/>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2" format="3">
      <pivotArea type="data" outline="0" fieldPosition="0">
        <references count="2">
          <reference field="4294967294" count="1" selected="0">
            <x v="0"/>
          </reference>
          <reference field="11"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1" count="1" selected="0">
            <x v="0"/>
          </reference>
        </references>
      </pivotArea>
    </chartFormat>
    <chartFormat chart="15" format="10">
      <pivotArea type="data" outline="0" fieldPosition="0">
        <references count="2">
          <reference field="4294967294" count="1" selected="0">
            <x v="0"/>
          </reference>
          <reference field="11" count="1" selected="0">
            <x v="1"/>
          </reference>
        </references>
      </pivotArea>
    </chartFormat>
    <chartFormat chart="15"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onth" xr10:uid="{68CD8F8A-F58E-4C9D-BAE1-35A9E0BC2E88}" sourceName="[data].[Sales Month]">
  <pivotTables>
    <pivotTable tabId="15" name="PivotTable6"/>
  </pivotTables>
  <data>
    <olap pivotCacheId="1079991877">
      <levels count="2">
        <level uniqueName="[data].[Sales Month].[(All)]" sourceCaption="(All)" count="0"/>
        <level uniqueName="[data].[Sales Month].[Sales Month]" sourceCaption="Sales Month" count="12">
          <ranges>
            <range startItem="0">
              <i n="[data].[Sales Month].&amp;[1]" c="1"/>
              <i n="[data].[Sales Month].&amp;[2]" c="2"/>
              <i n="[data].[Sales Month].&amp;[3]" c="3"/>
              <i n="[data].[Sales Month].&amp;[4]" c="4"/>
              <i n="[data].[Sales Month].&amp;[5]" c="5"/>
              <i n="[data].[Sales Month].&amp;[6]" c="6"/>
              <i n="[data].[Sales Month].&amp;[7]" c="7"/>
              <i n="[data].[Sales Month].&amp;[8]" c="8"/>
              <i n="[data].[Sales Month].&amp;[9]" c="9"/>
              <i n="[data].[Sales Month].&amp;[10]" c="10"/>
              <i n="[data].[Sales Month].&amp;[11]" c="11"/>
              <i n="[data].[Sales Month].&amp;[12]" c="12"/>
            </range>
          </ranges>
        </level>
      </levels>
      <selections count="1">
        <selection n="[data].[Sales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onth" xr10:uid="{8EFBC8A3-7490-40DB-A971-836D8ACB54F7}" cache="Slicer_Sales_Month" caption="Sales Month" columnCount="4" level="1"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C4D288-E154-43CD-BF85-1634C2379CD6}" name="data" displayName="data" ref="A1:S251" totalsRowShown="0" headerRowDxfId="106" dataDxfId="104" headerRowBorderDxfId="105" tableBorderDxfId="103" totalsRowBorderDxfId="102">
  <autoFilter ref="A1:S251" xr:uid="{C9C4D288-E154-43CD-BF85-1634C2379CD6}"/>
  <tableColumns count="19">
    <tableColumn id="1" xr3:uid="{4E300082-C7FA-4946-B5F3-DCEF4A377CEA}" name="Transaction_ID" dataDxfId="101"/>
    <tableColumn id="2" xr3:uid="{F7EC5E5C-3E04-43FD-AE04-D96FF28AC474}" name="Date" dataDxfId="100"/>
    <tableColumn id="3" xr3:uid="{64FDAD3A-BE8E-4BD4-B7E5-950EF5C31381}" name="Customer_ID" dataDxfId="99"/>
    <tableColumn id="4" xr3:uid="{A99DF997-ED89-4790-AAB6-A403D24D7119}" name="Customer_Name" dataDxfId="98"/>
    <tableColumn id="5" xr3:uid="{D284173D-E4C0-494C-BA88-8ECA4D4FD3AA}" name="Product_ID" dataDxfId="97"/>
    <tableColumn id="6" xr3:uid="{7143A6D4-BE3E-489C-8358-32267C6A32C3}" name="Product_Name" dataDxfId="96"/>
    <tableColumn id="7" xr3:uid="{0C574DC3-5474-4700-8288-ADCB06A6E600}" name="Category" dataDxfId="95"/>
    <tableColumn id="8" xr3:uid="{FC6ECEB2-41A3-47A2-8A28-6CB57F5480D9}" name="Quantity" dataDxfId="94"/>
    <tableColumn id="9" xr3:uid="{52BDFD3B-BC0E-41EE-A0FC-9ADDCCAC40E7}" name="Unit_Price" dataDxfId="93"/>
    <tableColumn id="10" xr3:uid="{B5DEA212-D92E-4EAF-9117-4276F70D3477}" name="Payment_Method" dataDxfId="92"/>
    <tableColumn id="11" xr3:uid="{444E5832-8A09-45F8-A6CF-A74EB1A800EA}" name="Region" dataDxfId="91"/>
    <tableColumn id="12" xr3:uid="{2EB9B706-057A-4330-8F9C-9A2D08A2526C}" name="Customer_Segment" dataDxfId="90"/>
    <tableColumn id="13" xr3:uid="{5D9AFF3E-788A-4D5D-8EBF-6EE47FA5ECC8}" name="Customer_Since" dataDxfId="89"/>
    <tableColumn id="14" xr3:uid="{0584F75A-0C61-41F8-BC1C-FF2279107119}" name="Total_Amount" dataDxfId="88">
      <calculatedColumnFormula>data[[#This Row],[Quantity]]*data[[#This Row],[Unit_Price]]</calculatedColumnFormula>
    </tableColumn>
    <tableColumn id="18" xr3:uid="{D7E572DE-BD21-476C-8006-B5B63EA4A06F}" name="Customer relationship" dataDxfId="87">
      <calculatedColumnFormula>DATEDIF(M2,TODAY(),"Y")</calculatedColumnFormula>
    </tableColumn>
    <tableColumn id="15" xr3:uid="{1AF4B936-925C-4410-8AD0-112032152BCD}" name="Timestamp" dataDxfId="86">
      <calculatedColumnFormula>NOW()</calculatedColumnFormula>
    </tableColumn>
    <tableColumn id="19" xr3:uid="{A56FF38F-A735-464E-BC43-6F2DDBD2C82B}" name="Abbreviation_Customer_Name" dataDxfId="85">
      <calculatedColumnFormula array="1">_xlfn.TEXTJOIN("",TRUE,LEFT(_xlfn.TEXTSPLIT(data[[#This Row],[Customer_Name]]," "),1))</calculatedColumnFormula>
    </tableColumn>
    <tableColumn id="16" xr3:uid="{D0FC7815-6073-4C66-BF08-632FB9A8B155}" name="Eomonth of sales" dataDxfId="84">
      <calculatedColumnFormula>EOMONTH(data[[#This Row],[Date]],0)</calculatedColumnFormula>
    </tableColumn>
    <tableColumn id="21" xr3:uid="{A8CEC0FF-FCB1-4964-800C-8BD82023E4BE}" name="Sales Month" dataDxfId="83">
      <calculatedColumnFormula>MONTH(data[[#This Row],[Date]])</calculatedColumnFormula>
    </tableColumn>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A870-B400-4B94-B46F-F603B47A0CC0}">
  <dimension ref="A1:S251"/>
  <sheetViews>
    <sheetView topLeftCell="E70" zoomScale="99" workbookViewId="0">
      <selection activeCell="N2" sqref="N2"/>
    </sheetView>
  </sheetViews>
  <sheetFormatPr defaultRowHeight="14.4"/>
  <cols>
    <col min="1" max="1" width="18.109375" bestFit="1" customWidth="1"/>
    <col min="2" max="2" width="12.21875" customWidth="1"/>
    <col min="3" max="3" width="16.33203125" bestFit="1" customWidth="1"/>
    <col min="4" max="4" width="19.5546875" bestFit="1" customWidth="1"/>
    <col min="5" max="5" width="14.77734375" bestFit="1" customWidth="1"/>
    <col min="6" max="6" width="18" bestFit="1" customWidth="1"/>
    <col min="7" max="8" width="12.77734375" bestFit="1" customWidth="1"/>
    <col min="9" max="9" width="14" bestFit="1" customWidth="1"/>
    <col min="10" max="10" width="20.6640625" bestFit="1" customWidth="1"/>
    <col min="11" max="11" width="11" bestFit="1" customWidth="1"/>
    <col min="12" max="12" width="22" bestFit="1" customWidth="1"/>
    <col min="13" max="13" width="18.88671875" bestFit="1" customWidth="1"/>
    <col min="14" max="14" width="17.5546875" bestFit="1" customWidth="1"/>
    <col min="15" max="15" width="24.44140625" bestFit="1" customWidth="1"/>
    <col min="16" max="16" width="17.77734375" customWidth="1"/>
    <col min="17" max="17" width="32" bestFit="1" customWidth="1"/>
    <col min="18" max="18" width="20.109375" bestFit="1" customWidth="1"/>
    <col min="19" max="19" width="15.88671875" bestFit="1" customWidth="1"/>
  </cols>
  <sheetData>
    <row r="1" spans="1:19" ht="15" thickBot="1">
      <c r="A1" s="4" t="s">
        <v>0</v>
      </c>
      <c r="B1" s="5" t="s">
        <v>1</v>
      </c>
      <c r="C1" s="5" t="s">
        <v>2</v>
      </c>
      <c r="D1" s="5" t="s">
        <v>3</v>
      </c>
      <c r="E1" s="5" t="s">
        <v>4</v>
      </c>
      <c r="F1" s="5" t="s">
        <v>5</v>
      </c>
      <c r="G1" s="5" t="s">
        <v>6</v>
      </c>
      <c r="H1" s="5" t="s">
        <v>7</v>
      </c>
      <c r="I1" s="5" t="s">
        <v>8</v>
      </c>
      <c r="J1" s="5" t="s">
        <v>9</v>
      </c>
      <c r="K1" s="5" t="s">
        <v>10</v>
      </c>
      <c r="L1" s="5" t="s">
        <v>11</v>
      </c>
      <c r="M1" s="5" t="s">
        <v>12</v>
      </c>
      <c r="N1" s="6" t="s">
        <v>13</v>
      </c>
      <c r="O1" s="6" t="s">
        <v>400</v>
      </c>
      <c r="P1" s="5" t="s">
        <v>399</v>
      </c>
      <c r="Q1" s="5" t="s">
        <v>414</v>
      </c>
      <c r="R1" s="5" t="s">
        <v>416</v>
      </c>
      <c r="S1" s="5" t="s">
        <v>468</v>
      </c>
    </row>
    <row r="2" spans="1:19" ht="15" thickBot="1">
      <c r="A2" s="3" t="s">
        <v>14</v>
      </c>
      <c r="B2" s="2">
        <v>45393</v>
      </c>
      <c r="C2" s="1" t="s">
        <v>15</v>
      </c>
      <c r="D2" s="1" t="s">
        <v>16</v>
      </c>
      <c r="E2" s="1" t="s">
        <v>17</v>
      </c>
      <c r="F2" s="1" t="s">
        <v>18</v>
      </c>
      <c r="G2" s="1" t="s">
        <v>19</v>
      </c>
      <c r="H2" s="1">
        <v>3</v>
      </c>
      <c r="I2" s="1">
        <v>249.99</v>
      </c>
      <c r="J2" s="1" t="s">
        <v>20</v>
      </c>
      <c r="K2" s="1" t="s">
        <v>21</v>
      </c>
      <c r="L2" s="1" t="s">
        <v>22</v>
      </c>
      <c r="M2" s="2">
        <v>44425</v>
      </c>
      <c r="N2" s="13">
        <f>data[[#This Row],[Quantity]]*data[[#This Row],[Unit_Price]]</f>
        <v>749.97</v>
      </c>
      <c r="O2" s="12">
        <f t="shared" ref="O2:O65" ca="1" si="0">DATEDIF(M2,TODAY(),"Y")</f>
        <v>5</v>
      </c>
      <c r="P2" s="10">
        <f t="shared" ref="P2:P65" ca="1" si="1">NOW()</f>
        <v>46308.73029861111</v>
      </c>
      <c r="Q2" s="11" t="str" cm="1">
        <f t="array" ref="Q2">_xlfn.TEXTJOIN("",TRUE,LEFT(_xlfn.TEXTSPLIT(data[[#This Row],[Customer_Name]]," "),1))</f>
        <v>PB</v>
      </c>
      <c r="R2" s="24">
        <f>EOMONTH(data[[#This Row],[Date]],0)</f>
        <v>45412</v>
      </c>
      <c r="S2" s="11">
        <f>MONTH(data[[#This Row],[Date]])</f>
        <v>4</v>
      </c>
    </row>
    <row r="3" spans="1:19" ht="15" thickBot="1">
      <c r="A3" s="3" t="s">
        <v>23</v>
      </c>
      <c r="B3" s="2">
        <v>45396</v>
      </c>
      <c r="C3" s="1" t="s">
        <v>24</v>
      </c>
      <c r="D3" s="1" t="s">
        <v>25</v>
      </c>
      <c r="E3" s="1" t="s">
        <v>17</v>
      </c>
      <c r="F3" s="1" t="s">
        <v>18</v>
      </c>
      <c r="G3" s="1" t="s">
        <v>19</v>
      </c>
      <c r="H3" s="1">
        <v>3</v>
      </c>
      <c r="I3" s="1">
        <v>249.99</v>
      </c>
      <c r="J3" s="1" t="s">
        <v>26</v>
      </c>
      <c r="K3" s="1" t="s">
        <v>21</v>
      </c>
      <c r="L3" s="1" t="s">
        <v>27</v>
      </c>
      <c r="M3" s="2">
        <v>44575</v>
      </c>
      <c r="N3" s="13">
        <f>data[[#This Row],[Quantity]]*data[[#This Row],[Unit_Price]]</f>
        <v>749.97</v>
      </c>
      <c r="O3" s="12">
        <f t="shared" ca="1" si="0"/>
        <v>4</v>
      </c>
      <c r="P3" s="10">
        <f t="shared" ca="1" si="1"/>
        <v>46308.73029861111</v>
      </c>
      <c r="Q3" s="11" t="str" cm="1">
        <f t="array" ref="Q3">_xlfn.TEXTJOIN("",TRUE,LEFT(_xlfn.TEXTSPLIT(data[[#This Row],[Customer_Name]]," "),1))</f>
        <v>JJ</v>
      </c>
      <c r="R3" s="24">
        <f>EOMONTH(data[[#This Row],[Date]],0)</f>
        <v>45412</v>
      </c>
      <c r="S3" s="11">
        <f>MONTH(data[[#This Row],[Date]])</f>
        <v>4</v>
      </c>
    </row>
    <row r="4" spans="1:19" ht="15" thickBot="1">
      <c r="A4" s="3" t="s">
        <v>28</v>
      </c>
      <c r="B4" s="2">
        <v>45399</v>
      </c>
      <c r="C4" s="1" t="s">
        <v>29</v>
      </c>
      <c r="D4" s="1" t="s">
        <v>30</v>
      </c>
      <c r="E4" s="1" t="s">
        <v>31</v>
      </c>
      <c r="F4" s="1" t="s">
        <v>32</v>
      </c>
      <c r="G4" s="1" t="s">
        <v>33</v>
      </c>
      <c r="H4" s="1">
        <v>3</v>
      </c>
      <c r="I4" s="1">
        <v>59.99</v>
      </c>
      <c r="J4" s="1" t="s">
        <v>34</v>
      </c>
      <c r="K4" s="1" t="s">
        <v>35</v>
      </c>
      <c r="L4" s="1" t="s">
        <v>36</v>
      </c>
      <c r="M4" s="2">
        <v>45262</v>
      </c>
      <c r="N4" s="13">
        <f>data[[#This Row],[Quantity]]*data[[#This Row],[Unit_Price]]</f>
        <v>179.97</v>
      </c>
      <c r="O4" s="12">
        <f t="shared" ca="1" si="0"/>
        <v>2</v>
      </c>
      <c r="P4" s="10">
        <f t="shared" ca="1" si="1"/>
        <v>46308.73029861111</v>
      </c>
      <c r="Q4" s="11" t="str" cm="1">
        <f t="array" ref="Q4">_xlfn.TEXTJOIN("",TRUE,LEFT(_xlfn.TEXTSPLIT(data[[#This Row],[Customer_Name]]," "),1))</f>
        <v>KS</v>
      </c>
      <c r="R4" s="24">
        <f>EOMONTH(data[[#This Row],[Date]],0)</f>
        <v>45412</v>
      </c>
      <c r="S4" s="11">
        <f>MONTH(data[[#This Row],[Date]])</f>
        <v>4</v>
      </c>
    </row>
    <row r="5" spans="1:19" ht="15" thickBot="1">
      <c r="A5" s="3" t="s">
        <v>37</v>
      </c>
      <c r="B5" s="2">
        <v>45400</v>
      </c>
      <c r="C5" s="1" t="s">
        <v>38</v>
      </c>
      <c r="D5" s="1" t="s">
        <v>39</v>
      </c>
      <c r="E5" s="1" t="s">
        <v>31</v>
      </c>
      <c r="F5" s="1" t="s">
        <v>32</v>
      </c>
      <c r="G5" s="1" t="s">
        <v>33</v>
      </c>
      <c r="H5" s="1">
        <v>3</v>
      </c>
      <c r="I5" s="1">
        <v>59.99</v>
      </c>
      <c r="J5" s="1" t="s">
        <v>20</v>
      </c>
      <c r="K5" s="1" t="s">
        <v>40</v>
      </c>
      <c r="L5" s="1" t="s">
        <v>27</v>
      </c>
      <c r="M5" s="2">
        <v>45114</v>
      </c>
      <c r="N5" s="13">
        <f>data[[#This Row],[Quantity]]*data[[#This Row],[Unit_Price]]</f>
        <v>179.97</v>
      </c>
      <c r="O5" s="12">
        <f t="shared" ca="1" si="0"/>
        <v>3</v>
      </c>
      <c r="P5" s="10">
        <f t="shared" ca="1" si="1"/>
        <v>46308.73029861111</v>
      </c>
      <c r="Q5" s="11" t="str" cm="1">
        <f t="array" ref="Q5">_xlfn.TEXTJOIN("",TRUE,LEFT(_xlfn.TEXTSPLIT(data[[#This Row],[Customer_Name]]," "),1))</f>
        <v>KB</v>
      </c>
      <c r="R5" s="24">
        <f>EOMONTH(data[[#This Row],[Date]],0)</f>
        <v>45412</v>
      </c>
      <c r="S5" s="11">
        <f>MONTH(data[[#This Row],[Date]])</f>
        <v>4</v>
      </c>
    </row>
    <row r="6" spans="1:19" ht="15" thickBot="1">
      <c r="A6" s="3" t="s">
        <v>41</v>
      </c>
      <c r="B6" s="2">
        <v>45400</v>
      </c>
      <c r="C6" s="1" t="s">
        <v>42</v>
      </c>
      <c r="D6" s="1" t="s">
        <v>43</v>
      </c>
      <c r="E6" s="1" t="s">
        <v>44</v>
      </c>
      <c r="F6" s="1" t="s">
        <v>45</v>
      </c>
      <c r="G6" s="1" t="s">
        <v>46</v>
      </c>
      <c r="H6" s="1">
        <v>5</v>
      </c>
      <c r="I6" s="1">
        <v>149.99</v>
      </c>
      <c r="J6" s="1" t="s">
        <v>26</v>
      </c>
      <c r="K6" s="1" t="s">
        <v>40</v>
      </c>
      <c r="L6" s="1" t="s">
        <v>27</v>
      </c>
      <c r="M6" s="2">
        <v>45295</v>
      </c>
      <c r="N6" s="13">
        <f>data[[#This Row],[Quantity]]*data[[#This Row],[Unit_Price]]</f>
        <v>749.95</v>
      </c>
      <c r="O6" s="12">
        <f t="shared" ca="1" si="0"/>
        <v>2</v>
      </c>
      <c r="P6" s="10">
        <f t="shared" ca="1" si="1"/>
        <v>46308.73029861111</v>
      </c>
      <c r="Q6" s="11" t="str" cm="1">
        <f t="array" ref="Q6">_xlfn.TEXTJOIN("",TRUE,LEFT(_xlfn.TEXTSPLIT(data[[#This Row],[Customer_Name]]," "),1))</f>
        <v>MB</v>
      </c>
      <c r="R6" s="24">
        <f>EOMONTH(data[[#This Row],[Date]],0)</f>
        <v>45412</v>
      </c>
      <c r="S6" s="11">
        <f>MONTH(data[[#This Row],[Date]])</f>
        <v>4</v>
      </c>
    </row>
    <row r="7" spans="1:19" ht="15" thickBot="1">
      <c r="A7" s="3" t="s">
        <v>47</v>
      </c>
      <c r="B7" s="2">
        <v>45403</v>
      </c>
      <c r="C7" s="1" t="s">
        <v>48</v>
      </c>
      <c r="D7" s="1" t="s">
        <v>49</v>
      </c>
      <c r="E7" s="1" t="s">
        <v>31</v>
      </c>
      <c r="F7" s="1" t="s">
        <v>32</v>
      </c>
      <c r="G7" s="1" t="s">
        <v>33</v>
      </c>
      <c r="H7" s="1">
        <v>2</v>
      </c>
      <c r="I7" s="1">
        <v>59.99</v>
      </c>
      <c r="J7" s="1" t="s">
        <v>20</v>
      </c>
      <c r="K7" s="1" t="s">
        <v>50</v>
      </c>
      <c r="L7" s="1" t="s">
        <v>36</v>
      </c>
      <c r="M7" s="2">
        <v>44746</v>
      </c>
      <c r="N7" s="13">
        <f>data[[#This Row],[Quantity]]*data[[#This Row],[Unit_Price]]</f>
        <v>119.98</v>
      </c>
      <c r="O7" s="12">
        <f t="shared" ca="1" si="0"/>
        <v>4</v>
      </c>
      <c r="P7" s="10">
        <f t="shared" ca="1" si="1"/>
        <v>46308.73029861111</v>
      </c>
      <c r="Q7" s="11" t="str" cm="1">
        <f t="array" ref="Q7">_xlfn.TEXTJOIN("",TRUE,LEFT(_xlfn.TEXTSPLIT(data[[#This Row],[Customer_Name]]," "),1))</f>
        <v>DN</v>
      </c>
      <c r="R7" s="24">
        <f>EOMONTH(data[[#This Row],[Date]],0)</f>
        <v>45412</v>
      </c>
      <c r="S7" s="11">
        <f>MONTH(data[[#This Row],[Date]])</f>
        <v>4</v>
      </c>
    </row>
    <row r="8" spans="1:19" ht="15" thickBot="1">
      <c r="A8" s="3" t="s">
        <v>51</v>
      </c>
      <c r="B8" s="2">
        <v>45403</v>
      </c>
      <c r="C8" s="1" t="s">
        <v>48</v>
      </c>
      <c r="D8" s="1" t="s">
        <v>49</v>
      </c>
      <c r="E8" s="1" t="s">
        <v>52</v>
      </c>
      <c r="F8" s="1" t="s">
        <v>53</v>
      </c>
      <c r="G8" s="1" t="s">
        <v>19</v>
      </c>
      <c r="H8" s="1">
        <v>5</v>
      </c>
      <c r="I8" s="1">
        <v>149.99</v>
      </c>
      <c r="J8" s="1" t="s">
        <v>26</v>
      </c>
      <c r="K8" s="1" t="s">
        <v>21</v>
      </c>
      <c r="L8" s="1" t="s">
        <v>36</v>
      </c>
      <c r="M8" s="2">
        <v>44418</v>
      </c>
      <c r="N8" s="13">
        <f>data[[#This Row],[Quantity]]*data[[#This Row],[Unit_Price]]</f>
        <v>749.95</v>
      </c>
      <c r="O8" s="12">
        <f t="shared" ca="1" si="0"/>
        <v>5</v>
      </c>
      <c r="P8" s="10">
        <f t="shared" ca="1" si="1"/>
        <v>46308.73029861111</v>
      </c>
      <c r="Q8" s="11" t="str" cm="1">
        <f t="array" ref="Q8">_xlfn.TEXTJOIN("",TRUE,LEFT(_xlfn.TEXTSPLIT(data[[#This Row],[Customer_Name]]," "),1))</f>
        <v>DN</v>
      </c>
      <c r="R8" s="24">
        <f>EOMONTH(data[[#This Row],[Date]],0)</f>
        <v>45412</v>
      </c>
      <c r="S8" s="11">
        <f>MONTH(data[[#This Row],[Date]])</f>
        <v>4</v>
      </c>
    </row>
    <row r="9" spans="1:19" ht="15" thickBot="1">
      <c r="A9" s="3" t="s">
        <v>54</v>
      </c>
      <c r="B9" s="2">
        <v>45403</v>
      </c>
      <c r="C9" s="1" t="s">
        <v>55</v>
      </c>
      <c r="D9" s="1" t="s">
        <v>56</v>
      </c>
      <c r="E9" s="1" t="s">
        <v>31</v>
      </c>
      <c r="F9" s="1" t="s">
        <v>32</v>
      </c>
      <c r="G9" s="1" t="s">
        <v>33</v>
      </c>
      <c r="H9" s="1">
        <v>3</v>
      </c>
      <c r="I9" s="1">
        <v>59.99</v>
      </c>
      <c r="J9" s="1" t="s">
        <v>57</v>
      </c>
      <c r="K9" s="1" t="s">
        <v>35</v>
      </c>
      <c r="L9" s="1" t="s">
        <v>22</v>
      </c>
      <c r="M9" s="2">
        <v>45007</v>
      </c>
      <c r="N9" s="13">
        <f>data[[#This Row],[Quantity]]*data[[#This Row],[Unit_Price]]</f>
        <v>179.97</v>
      </c>
      <c r="O9" s="12">
        <f t="shared" ca="1" si="0"/>
        <v>3</v>
      </c>
      <c r="P9" s="10">
        <f t="shared" ca="1" si="1"/>
        <v>46308.73029861111</v>
      </c>
      <c r="Q9" s="11" t="str" cm="1">
        <f t="array" ref="Q9">_xlfn.TEXTJOIN("",TRUE,LEFT(_xlfn.TEXTSPLIT(data[[#This Row],[Customer_Name]]," "),1))</f>
        <v>CA</v>
      </c>
      <c r="R9" s="24">
        <f>EOMONTH(data[[#This Row],[Date]],0)</f>
        <v>45412</v>
      </c>
      <c r="S9" s="11">
        <f>MONTH(data[[#This Row],[Date]])</f>
        <v>4</v>
      </c>
    </row>
    <row r="10" spans="1:19" ht="15" thickBot="1">
      <c r="A10" s="3" t="s">
        <v>58</v>
      </c>
      <c r="B10" s="2">
        <v>45405</v>
      </c>
      <c r="C10" s="1" t="s">
        <v>59</v>
      </c>
      <c r="D10" s="1" t="s">
        <v>60</v>
      </c>
      <c r="E10" s="1" t="s">
        <v>61</v>
      </c>
      <c r="F10" s="1" t="s">
        <v>62</v>
      </c>
      <c r="G10" s="1" t="s">
        <v>19</v>
      </c>
      <c r="H10" s="1">
        <v>3</v>
      </c>
      <c r="I10" s="1">
        <v>899.99</v>
      </c>
      <c r="J10" s="1" t="s">
        <v>34</v>
      </c>
      <c r="K10" s="1" t="s">
        <v>63</v>
      </c>
      <c r="L10" s="1" t="s">
        <v>36</v>
      </c>
      <c r="M10" s="2">
        <v>45299</v>
      </c>
      <c r="N10" s="13">
        <f>data[[#This Row],[Quantity]]*data[[#This Row],[Unit_Price]]</f>
        <v>2699.9700000000003</v>
      </c>
      <c r="O10" s="12">
        <f t="shared" ca="1" si="0"/>
        <v>2</v>
      </c>
      <c r="P10" s="10">
        <f t="shared" ca="1" si="1"/>
        <v>46308.73029861111</v>
      </c>
      <c r="Q10" s="11" t="str" cm="1">
        <f t="array" ref="Q10">_xlfn.TEXTJOIN("",TRUE,LEFT(_xlfn.TEXTSPLIT(data[[#This Row],[Customer_Name]]," "),1))</f>
        <v>RT</v>
      </c>
      <c r="R10" s="24">
        <f>EOMONTH(data[[#This Row],[Date]],0)</f>
        <v>45412</v>
      </c>
      <c r="S10" s="11">
        <f>MONTH(data[[#This Row],[Date]])</f>
        <v>4</v>
      </c>
    </row>
    <row r="11" spans="1:19" ht="15" thickBot="1">
      <c r="A11" s="3" t="s">
        <v>64</v>
      </c>
      <c r="B11" s="2">
        <v>45408</v>
      </c>
      <c r="C11" s="1" t="s">
        <v>65</v>
      </c>
      <c r="D11" s="1" t="s">
        <v>66</v>
      </c>
      <c r="E11" s="1" t="s">
        <v>31</v>
      </c>
      <c r="F11" s="1" t="s">
        <v>32</v>
      </c>
      <c r="G11" s="1" t="s">
        <v>33</v>
      </c>
      <c r="H11" s="1">
        <v>3</v>
      </c>
      <c r="I11" s="1">
        <v>59.99</v>
      </c>
      <c r="J11" s="1" t="s">
        <v>20</v>
      </c>
      <c r="K11" s="1" t="s">
        <v>50</v>
      </c>
      <c r="L11" s="1" t="s">
        <v>27</v>
      </c>
      <c r="M11" s="2">
        <v>45207</v>
      </c>
      <c r="N11" s="13">
        <f>data[[#This Row],[Quantity]]*data[[#This Row],[Unit_Price]]</f>
        <v>179.97</v>
      </c>
      <c r="O11" s="12">
        <f t="shared" ca="1" si="0"/>
        <v>3</v>
      </c>
      <c r="P11" s="10">
        <f t="shared" ca="1" si="1"/>
        <v>46308.73029861111</v>
      </c>
      <c r="Q11" s="11" t="str" cm="1">
        <f t="array" ref="Q11">_xlfn.TEXTJOIN("",TRUE,LEFT(_xlfn.TEXTSPLIT(data[[#This Row],[Customer_Name]]," "),1))</f>
        <v>KH</v>
      </c>
      <c r="R11" s="24">
        <f>EOMONTH(data[[#This Row],[Date]],0)</f>
        <v>45412</v>
      </c>
      <c r="S11" s="11">
        <f>MONTH(data[[#This Row],[Date]])</f>
        <v>4</v>
      </c>
    </row>
    <row r="12" spans="1:19" ht="15" thickBot="1">
      <c r="A12" s="3" t="s">
        <v>67</v>
      </c>
      <c r="B12" s="2">
        <v>45408</v>
      </c>
      <c r="C12" s="1" t="s">
        <v>68</v>
      </c>
      <c r="D12" s="1" t="s">
        <v>69</v>
      </c>
      <c r="E12" s="1" t="s">
        <v>44</v>
      </c>
      <c r="F12" s="1" t="s">
        <v>45</v>
      </c>
      <c r="G12" s="1" t="s">
        <v>46</v>
      </c>
      <c r="H12" s="1">
        <v>1</v>
      </c>
      <c r="I12" s="1">
        <v>149.99</v>
      </c>
      <c r="J12" s="1" t="s">
        <v>26</v>
      </c>
      <c r="K12" s="1" t="s">
        <v>50</v>
      </c>
      <c r="L12" s="1" t="s">
        <v>36</v>
      </c>
      <c r="M12" s="2">
        <v>45103</v>
      </c>
      <c r="N12" s="13">
        <f>data[[#This Row],[Quantity]]*data[[#This Row],[Unit_Price]]</f>
        <v>149.99</v>
      </c>
      <c r="O12" s="12">
        <f t="shared" ca="1" si="0"/>
        <v>3</v>
      </c>
      <c r="P12" s="10">
        <f t="shared" ca="1" si="1"/>
        <v>46308.73029861111</v>
      </c>
      <c r="Q12" s="11" t="str" cm="1">
        <f t="array" ref="Q12">_xlfn.TEXTJOIN("",TRUE,LEFT(_xlfn.TEXTSPLIT(data[[#This Row],[Customer_Name]]," "),1))</f>
        <v>SG</v>
      </c>
      <c r="R12" s="24">
        <f>EOMONTH(data[[#This Row],[Date]],0)</f>
        <v>45412</v>
      </c>
      <c r="S12" s="11">
        <f>MONTH(data[[#This Row],[Date]])</f>
        <v>4</v>
      </c>
    </row>
    <row r="13" spans="1:19" ht="15" thickBot="1">
      <c r="A13" s="3" t="s">
        <v>70</v>
      </c>
      <c r="B13" s="2">
        <v>45408</v>
      </c>
      <c r="C13" s="1" t="s">
        <v>38</v>
      </c>
      <c r="D13" s="1" t="s">
        <v>39</v>
      </c>
      <c r="E13" s="1" t="s">
        <v>44</v>
      </c>
      <c r="F13" s="1" t="s">
        <v>45</v>
      </c>
      <c r="G13" s="1" t="s">
        <v>46</v>
      </c>
      <c r="H13" s="1">
        <v>5</v>
      </c>
      <c r="I13" s="1">
        <v>149.99</v>
      </c>
      <c r="J13" s="1" t="s">
        <v>57</v>
      </c>
      <c r="K13" s="1" t="s">
        <v>40</v>
      </c>
      <c r="L13" s="1" t="s">
        <v>22</v>
      </c>
      <c r="M13" s="2">
        <v>44830</v>
      </c>
      <c r="N13" s="13">
        <f>data[[#This Row],[Quantity]]*data[[#This Row],[Unit_Price]]</f>
        <v>749.95</v>
      </c>
      <c r="O13" s="12">
        <f t="shared" ca="1" si="0"/>
        <v>4</v>
      </c>
      <c r="P13" s="10">
        <f t="shared" ca="1" si="1"/>
        <v>46308.73029861111</v>
      </c>
      <c r="Q13" s="11" t="str" cm="1">
        <f t="array" ref="Q13">_xlfn.TEXTJOIN("",TRUE,LEFT(_xlfn.TEXTSPLIT(data[[#This Row],[Customer_Name]]," "),1))</f>
        <v>KB</v>
      </c>
      <c r="R13" s="24">
        <f>EOMONTH(data[[#This Row],[Date]],0)</f>
        <v>45412</v>
      </c>
      <c r="S13" s="11">
        <f>MONTH(data[[#This Row],[Date]])</f>
        <v>4</v>
      </c>
    </row>
    <row r="14" spans="1:19" ht="15" thickBot="1">
      <c r="A14" s="3" t="s">
        <v>71</v>
      </c>
      <c r="B14" s="2">
        <v>45408</v>
      </c>
      <c r="C14" s="1" t="s">
        <v>72</v>
      </c>
      <c r="D14" s="1" t="s">
        <v>73</v>
      </c>
      <c r="E14" s="1" t="s">
        <v>44</v>
      </c>
      <c r="F14" s="1" t="s">
        <v>45</v>
      </c>
      <c r="G14" s="1" t="s">
        <v>46</v>
      </c>
      <c r="H14" s="1">
        <v>3</v>
      </c>
      <c r="I14" s="1">
        <v>149.99</v>
      </c>
      <c r="J14" s="1" t="s">
        <v>20</v>
      </c>
      <c r="K14" s="1" t="s">
        <v>40</v>
      </c>
      <c r="L14" s="1" t="s">
        <v>27</v>
      </c>
      <c r="M14" s="2">
        <v>44806</v>
      </c>
      <c r="N14" s="13">
        <f>data[[#This Row],[Quantity]]*data[[#This Row],[Unit_Price]]</f>
        <v>449.97</v>
      </c>
      <c r="O14" s="12">
        <f t="shared" ca="1" si="0"/>
        <v>4</v>
      </c>
      <c r="P14" s="10">
        <f t="shared" ca="1" si="1"/>
        <v>46308.73029861111</v>
      </c>
      <c r="Q14" s="11" t="str" cm="1">
        <f t="array" ref="Q14">_xlfn.TEXTJOIN("",TRUE,LEFT(_xlfn.TEXTSPLIT(data[[#This Row],[Customer_Name]]," "),1))</f>
        <v>PR</v>
      </c>
      <c r="R14" s="24">
        <f>EOMONTH(data[[#This Row],[Date]],0)</f>
        <v>45412</v>
      </c>
      <c r="S14" s="11">
        <f>MONTH(data[[#This Row],[Date]])</f>
        <v>4</v>
      </c>
    </row>
    <row r="15" spans="1:19" ht="15" thickBot="1">
      <c r="A15" s="3" t="s">
        <v>74</v>
      </c>
      <c r="B15" s="2">
        <v>45409</v>
      </c>
      <c r="C15" s="1" t="s">
        <v>75</v>
      </c>
      <c r="D15" s="1" t="s">
        <v>76</v>
      </c>
      <c r="E15" s="1" t="s">
        <v>31</v>
      </c>
      <c r="F15" s="1" t="s">
        <v>32</v>
      </c>
      <c r="G15" s="1" t="s">
        <v>33</v>
      </c>
      <c r="H15" s="1">
        <v>3</v>
      </c>
      <c r="I15" s="1">
        <v>59.99</v>
      </c>
      <c r="J15" s="1" t="s">
        <v>26</v>
      </c>
      <c r="K15" s="1" t="s">
        <v>40</v>
      </c>
      <c r="L15" s="1" t="s">
        <v>36</v>
      </c>
      <c r="M15" s="2">
        <v>45351</v>
      </c>
      <c r="N15" s="13">
        <f>data[[#This Row],[Quantity]]*data[[#This Row],[Unit_Price]]</f>
        <v>179.97</v>
      </c>
      <c r="O15" s="12">
        <f t="shared" ca="1" si="0"/>
        <v>2</v>
      </c>
      <c r="P15" s="10">
        <f t="shared" ca="1" si="1"/>
        <v>46308.73029861111</v>
      </c>
      <c r="Q15" s="11" t="str" cm="1">
        <f t="array" ref="Q15">_xlfn.TEXTJOIN("",TRUE,LEFT(_xlfn.TEXTSPLIT(data[[#This Row],[Customer_Name]]," "),1))</f>
        <v>DG</v>
      </c>
      <c r="R15" s="24">
        <f>EOMONTH(data[[#This Row],[Date]],0)</f>
        <v>45412</v>
      </c>
      <c r="S15" s="11">
        <f>MONTH(data[[#This Row],[Date]])</f>
        <v>4</v>
      </c>
    </row>
    <row r="16" spans="1:19" ht="15" thickBot="1">
      <c r="A16" s="3" t="s">
        <v>77</v>
      </c>
      <c r="B16" s="2">
        <v>45409</v>
      </c>
      <c r="C16" s="1" t="s">
        <v>78</v>
      </c>
      <c r="D16" s="1" t="s">
        <v>79</v>
      </c>
      <c r="E16" s="1" t="s">
        <v>80</v>
      </c>
      <c r="F16" s="1" t="s">
        <v>81</v>
      </c>
      <c r="G16" s="1" t="s">
        <v>19</v>
      </c>
      <c r="H16" s="1">
        <v>3</v>
      </c>
      <c r="I16" s="1">
        <v>699.99</v>
      </c>
      <c r="J16" s="1" t="s">
        <v>26</v>
      </c>
      <c r="K16" s="1" t="s">
        <v>50</v>
      </c>
      <c r="L16" s="1" t="s">
        <v>22</v>
      </c>
      <c r="M16" s="2">
        <v>44577</v>
      </c>
      <c r="N16" s="13">
        <f>data[[#This Row],[Quantity]]*data[[#This Row],[Unit_Price]]</f>
        <v>2099.9700000000003</v>
      </c>
      <c r="O16" s="12">
        <f t="shared" ca="1" si="0"/>
        <v>4</v>
      </c>
      <c r="P16" s="10">
        <f t="shared" ca="1" si="1"/>
        <v>46308.73029861111</v>
      </c>
      <c r="Q16" s="11" t="str" cm="1">
        <f t="array" ref="Q16">_xlfn.TEXTJOIN("",TRUE,LEFT(_xlfn.TEXTSPLIT(data[[#This Row],[Customer_Name]]," "),1))</f>
        <v>MR</v>
      </c>
      <c r="R16" s="24">
        <f>EOMONTH(data[[#This Row],[Date]],0)</f>
        <v>45412</v>
      </c>
      <c r="S16" s="11">
        <f>MONTH(data[[#This Row],[Date]])</f>
        <v>4</v>
      </c>
    </row>
    <row r="17" spans="1:19" ht="15" thickBot="1">
      <c r="A17" s="3" t="s">
        <v>82</v>
      </c>
      <c r="B17" s="2">
        <v>45409</v>
      </c>
      <c r="C17" s="1" t="s">
        <v>83</v>
      </c>
      <c r="D17" s="1" t="s">
        <v>84</v>
      </c>
      <c r="E17" s="1" t="s">
        <v>61</v>
      </c>
      <c r="F17" s="1" t="s">
        <v>62</v>
      </c>
      <c r="G17" s="1" t="s">
        <v>19</v>
      </c>
      <c r="H17" s="1">
        <v>1</v>
      </c>
      <c r="I17" s="1">
        <v>899.99</v>
      </c>
      <c r="J17" s="1" t="s">
        <v>57</v>
      </c>
      <c r="K17" s="1" t="s">
        <v>40</v>
      </c>
      <c r="L17" s="1" t="s">
        <v>36</v>
      </c>
      <c r="M17" s="2">
        <v>44920</v>
      </c>
      <c r="N17" s="13">
        <f>data[[#This Row],[Quantity]]*data[[#This Row],[Unit_Price]]</f>
        <v>899.99</v>
      </c>
      <c r="O17" s="12">
        <f t="shared" ca="1" si="0"/>
        <v>3</v>
      </c>
      <c r="P17" s="10">
        <f t="shared" ca="1" si="1"/>
        <v>46308.73029861111</v>
      </c>
      <c r="Q17" s="11" t="str" cm="1">
        <f t="array" ref="Q17">_xlfn.TEXTJOIN("",TRUE,LEFT(_xlfn.TEXTSPLIT(data[[#This Row],[Customer_Name]]," "),1))</f>
        <v>GA</v>
      </c>
      <c r="R17" s="24">
        <f>EOMONTH(data[[#This Row],[Date]],0)</f>
        <v>45412</v>
      </c>
      <c r="S17" s="11">
        <f>MONTH(data[[#This Row],[Date]])</f>
        <v>4</v>
      </c>
    </row>
    <row r="18" spans="1:19" ht="15" thickBot="1">
      <c r="A18" s="3" t="s">
        <v>85</v>
      </c>
      <c r="B18" s="2">
        <v>45410</v>
      </c>
      <c r="C18" s="1" t="s">
        <v>86</v>
      </c>
      <c r="D18" s="1" t="s">
        <v>87</v>
      </c>
      <c r="E18" s="1" t="s">
        <v>44</v>
      </c>
      <c r="F18" s="1" t="s">
        <v>45</v>
      </c>
      <c r="G18" s="1" t="s">
        <v>46</v>
      </c>
      <c r="H18" s="1">
        <v>4</v>
      </c>
      <c r="I18" s="1">
        <v>149.99</v>
      </c>
      <c r="J18" s="1" t="s">
        <v>57</v>
      </c>
      <c r="K18" s="1" t="s">
        <v>40</v>
      </c>
      <c r="L18" s="1" t="s">
        <v>27</v>
      </c>
      <c r="M18" s="2">
        <v>45374</v>
      </c>
      <c r="N18" s="13">
        <f>data[[#This Row],[Quantity]]*data[[#This Row],[Unit_Price]]</f>
        <v>599.96</v>
      </c>
      <c r="O18" s="12">
        <f t="shared" ca="1" si="0"/>
        <v>2</v>
      </c>
      <c r="P18" s="10">
        <f t="shared" ca="1" si="1"/>
        <v>46308.73029861111</v>
      </c>
      <c r="Q18" s="11" t="str" cm="1">
        <f t="array" ref="Q18">_xlfn.TEXTJOIN("",TRUE,LEFT(_xlfn.TEXTSPLIT(data[[#This Row],[Customer_Name]]," "),1))</f>
        <v>MC</v>
      </c>
      <c r="R18" s="24">
        <f>EOMONTH(data[[#This Row],[Date]],0)</f>
        <v>45412</v>
      </c>
      <c r="S18" s="11">
        <f>MONTH(data[[#This Row],[Date]])</f>
        <v>4</v>
      </c>
    </row>
    <row r="19" spans="1:19" ht="15" thickBot="1">
      <c r="A19" s="3" t="s">
        <v>88</v>
      </c>
      <c r="B19" s="2">
        <v>45410</v>
      </c>
      <c r="C19" s="1" t="s">
        <v>89</v>
      </c>
      <c r="D19" s="1" t="s">
        <v>90</v>
      </c>
      <c r="E19" s="1" t="s">
        <v>80</v>
      </c>
      <c r="F19" s="1" t="s">
        <v>81</v>
      </c>
      <c r="G19" s="1" t="s">
        <v>19</v>
      </c>
      <c r="H19" s="1">
        <v>2</v>
      </c>
      <c r="I19" s="1">
        <v>699.99</v>
      </c>
      <c r="J19" s="1" t="s">
        <v>20</v>
      </c>
      <c r="K19" s="1" t="s">
        <v>40</v>
      </c>
      <c r="L19" s="1" t="s">
        <v>22</v>
      </c>
      <c r="M19" s="2">
        <v>44781</v>
      </c>
      <c r="N19" s="13">
        <f>data[[#This Row],[Quantity]]*data[[#This Row],[Unit_Price]]</f>
        <v>1399.98</v>
      </c>
      <c r="O19" s="12">
        <f t="shared" ca="1" si="0"/>
        <v>4</v>
      </c>
      <c r="P19" s="10">
        <f t="shared" ca="1" si="1"/>
        <v>46308.73029861111</v>
      </c>
      <c r="Q19" s="11" t="str" cm="1">
        <f t="array" ref="Q19">_xlfn.TEXTJOIN("",TRUE,LEFT(_xlfn.TEXTSPLIT(data[[#This Row],[Customer_Name]]," "),1))</f>
        <v>MG</v>
      </c>
      <c r="R19" s="24">
        <f>EOMONTH(data[[#This Row],[Date]],0)</f>
        <v>45412</v>
      </c>
      <c r="S19" s="11">
        <f>MONTH(data[[#This Row],[Date]])</f>
        <v>4</v>
      </c>
    </row>
    <row r="20" spans="1:19" ht="15" thickBot="1">
      <c r="A20" s="3" t="s">
        <v>91</v>
      </c>
      <c r="B20" s="2">
        <v>45410</v>
      </c>
      <c r="C20" s="1" t="s">
        <v>86</v>
      </c>
      <c r="D20" s="1" t="s">
        <v>87</v>
      </c>
      <c r="E20" s="1" t="s">
        <v>61</v>
      </c>
      <c r="F20" s="1" t="s">
        <v>62</v>
      </c>
      <c r="G20" s="1" t="s">
        <v>19</v>
      </c>
      <c r="H20" s="1">
        <v>4</v>
      </c>
      <c r="I20" s="1">
        <v>899.99</v>
      </c>
      <c r="J20" s="1" t="s">
        <v>26</v>
      </c>
      <c r="K20" s="1" t="s">
        <v>50</v>
      </c>
      <c r="L20" s="1" t="s">
        <v>36</v>
      </c>
      <c r="M20" s="2">
        <v>45327</v>
      </c>
      <c r="N20" s="13">
        <f>data[[#This Row],[Quantity]]*data[[#This Row],[Unit_Price]]</f>
        <v>3599.96</v>
      </c>
      <c r="O20" s="12">
        <f t="shared" ca="1" si="0"/>
        <v>2</v>
      </c>
      <c r="P20" s="10">
        <f t="shared" ca="1" si="1"/>
        <v>46308.73029861111</v>
      </c>
      <c r="Q20" s="11" t="str" cm="1">
        <f t="array" ref="Q20">_xlfn.TEXTJOIN("",TRUE,LEFT(_xlfn.TEXTSPLIT(data[[#This Row],[Customer_Name]]," "),1))</f>
        <v>MC</v>
      </c>
      <c r="R20" s="24">
        <f>EOMONTH(data[[#This Row],[Date]],0)</f>
        <v>45412</v>
      </c>
      <c r="S20" s="11">
        <f>MONTH(data[[#This Row],[Date]])</f>
        <v>4</v>
      </c>
    </row>
    <row r="21" spans="1:19" ht="15" thickBot="1">
      <c r="A21" s="3" t="s">
        <v>92</v>
      </c>
      <c r="B21" s="2">
        <v>45410</v>
      </c>
      <c r="C21" s="1" t="s">
        <v>93</v>
      </c>
      <c r="D21" s="1" t="s">
        <v>94</v>
      </c>
      <c r="E21" s="1" t="s">
        <v>17</v>
      </c>
      <c r="F21" s="1" t="s">
        <v>18</v>
      </c>
      <c r="G21" s="1" t="s">
        <v>19</v>
      </c>
      <c r="H21" s="1">
        <v>3</v>
      </c>
      <c r="I21" s="1">
        <v>249.99</v>
      </c>
      <c r="J21" s="1" t="s">
        <v>26</v>
      </c>
      <c r="K21" s="1" t="s">
        <v>40</v>
      </c>
      <c r="L21" s="1" t="s">
        <v>27</v>
      </c>
      <c r="M21" s="2">
        <v>45224</v>
      </c>
      <c r="N21" s="13">
        <f>data[[#This Row],[Quantity]]*data[[#This Row],[Unit_Price]]</f>
        <v>749.97</v>
      </c>
      <c r="O21" s="12">
        <f t="shared" ca="1" si="0"/>
        <v>2</v>
      </c>
      <c r="P21" s="10">
        <f t="shared" ca="1" si="1"/>
        <v>46308.73029861111</v>
      </c>
      <c r="Q21" s="11" t="str" cm="1">
        <f t="array" ref="Q21">_xlfn.TEXTJOIN("",TRUE,LEFT(_xlfn.TEXTSPLIT(data[[#This Row],[Customer_Name]]," "),1))</f>
        <v>VS</v>
      </c>
      <c r="R21" s="24">
        <f>EOMONTH(data[[#This Row],[Date]],0)</f>
        <v>45412</v>
      </c>
      <c r="S21" s="11">
        <f>MONTH(data[[#This Row],[Date]])</f>
        <v>4</v>
      </c>
    </row>
    <row r="22" spans="1:19" ht="15" thickBot="1">
      <c r="A22" s="3" t="s">
        <v>95</v>
      </c>
      <c r="B22" s="2">
        <v>45412</v>
      </c>
      <c r="C22" s="1" t="s">
        <v>96</v>
      </c>
      <c r="D22" s="1" t="s">
        <v>97</v>
      </c>
      <c r="E22" s="1" t="s">
        <v>80</v>
      </c>
      <c r="F22" s="1" t="s">
        <v>81</v>
      </c>
      <c r="G22" s="1" t="s">
        <v>19</v>
      </c>
      <c r="H22" s="1">
        <v>5</v>
      </c>
      <c r="I22" s="1">
        <v>699.99</v>
      </c>
      <c r="J22" s="1" t="s">
        <v>20</v>
      </c>
      <c r="K22" s="1" t="s">
        <v>50</v>
      </c>
      <c r="L22" s="1" t="s">
        <v>22</v>
      </c>
      <c r="M22" s="2">
        <v>45167</v>
      </c>
      <c r="N22" s="13">
        <f>data[[#This Row],[Quantity]]*data[[#This Row],[Unit_Price]]</f>
        <v>3499.95</v>
      </c>
      <c r="O22" s="12">
        <f t="shared" ca="1" si="0"/>
        <v>3</v>
      </c>
      <c r="P22" s="10">
        <f t="shared" ca="1" si="1"/>
        <v>46308.73029861111</v>
      </c>
      <c r="Q22" s="11" t="str" cm="1">
        <f t="array" ref="Q22">_xlfn.TEXTJOIN("",TRUE,LEFT(_xlfn.TEXTSPLIT(data[[#This Row],[Customer_Name]]," "),1))</f>
        <v>BY</v>
      </c>
      <c r="R22" s="24">
        <f>EOMONTH(data[[#This Row],[Date]],0)</f>
        <v>45412</v>
      </c>
      <c r="S22" s="11">
        <f>MONTH(data[[#This Row],[Date]])</f>
        <v>4</v>
      </c>
    </row>
    <row r="23" spans="1:19" ht="15" thickBot="1">
      <c r="A23" s="3" t="s">
        <v>98</v>
      </c>
      <c r="B23" s="2">
        <v>45413</v>
      </c>
      <c r="C23" s="1" t="s">
        <v>99</v>
      </c>
      <c r="D23" s="1" t="s">
        <v>100</v>
      </c>
      <c r="E23" s="1" t="s">
        <v>80</v>
      </c>
      <c r="F23" s="1" t="s">
        <v>81</v>
      </c>
      <c r="G23" s="1" t="s">
        <v>19</v>
      </c>
      <c r="H23" s="1">
        <v>4</v>
      </c>
      <c r="I23" s="1">
        <v>699.99</v>
      </c>
      <c r="J23" s="1" t="s">
        <v>20</v>
      </c>
      <c r="K23" s="1" t="s">
        <v>63</v>
      </c>
      <c r="L23" s="1" t="s">
        <v>36</v>
      </c>
      <c r="M23" s="2">
        <v>44409</v>
      </c>
      <c r="N23" s="13">
        <f>data[[#This Row],[Quantity]]*data[[#This Row],[Unit_Price]]</f>
        <v>2799.96</v>
      </c>
      <c r="O23" s="12">
        <f t="shared" ca="1" si="0"/>
        <v>5</v>
      </c>
      <c r="P23" s="10">
        <f t="shared" ca="1" si="1"/>
        <v>46308.73029861111</v>
      </c>
      <c r="Q23" s="11" t="str" cm="1">
        <f t="array" ref="Q23">_xlfn.TEXTJOIN("",TRUE,LEFT(_xlfn.TEXTSPLIT(data[[#This Row],[Customer_Name]]," "),1))</f>
        <v>PM</v>
      </c>
      <c r="R23" s="24">
        <f>EOMONTH(data[[#This Row],[Date]],0)</f>
        <v>45443</v>
      </c>
      <c r="S23" s="11">
        <f>MONTH(data[[#This Row],[Date]])</f>
        <v>5</v>
      </c>
    </row>
    <row r="24" spans="1:19" ht="15" thickBot="1">
      <c r="A24" s="3" t="s">
        <v>101</v>
      </c>
      <c r="B24" s="2">
        <v>45415</v>
      </c>
      <c r="C24" s="1" t="s">
        <v>102</v>
      </c>
      <c r="D24" s="1" t="s">
        <v>103</v>
      </c>
      <c r="E24" s="1" t="s">
        <v>17</v>
      </c>
      <c r="F24" s="1" t="s">
        <v>18</v>
      </c>
      <c r="G24" s="1" t="s">
        <v>19</v>
      </c>
      <c r="H24" s="1">
        <v>4</v>
      </c>
      <c r="I24" s="1">
        <v>249.99</v>
      </c>
      <c r="J24" s="1" t="s">
        <v>34</v>
      </c>
      <c r="K24" s="1" t="s">
        <v>40</v>
      </c>
      <c r="L24" s="1" t="s">
        <v>36</v>
      </c>
      <c r="M24" s="2">
        <v>44468</v>
      </c>
      <c r="N24" s="13">
        <f>data[[#This Row],[Quantity]]*data[[#This Row],[Unit_Price]]</f>
        <v>999.96</v>
      </c>
      <c r="O24" s="12">
        <f t="shared" ca="1" si="0"/>
        <v>5</v>
      </c>
      <c r="P24" s="10">
        <f t="shared" ca="1" si="1"/>
        <v>46308.73029861111</v>
      </c>
      <c r="Q24" s="11" t="str" cm="1">
        <f t="array" ref="Q24">_xlfn.TEXTJOIN("",TRUE,LEFT(_xlfn.TEXTSPLIT(data[[#This Row],[Customer_Name]]," "),1))</f>
        <v>CP</v>
      </c>
      <c r="R24" s="24">
        <f>EOMONTH(data[[#This Row],[Date]],0)</f>
        <v>45443</v>
      </c>
      <c r="S24" s="11">
        <f>MONTH(data[[#This Row],[Date]])</f>
        <v>5</v>
      </c>
    </row>
    <row r="25" spans="1:19" ht="15" thickBot="1">
      <c r="A25" s="3" t="s">
        <v>104</v>
      </c>
      <c r="B25" s="2">
        <v>45416</v>
      </c>
      <c r="C25" s="1" t="s">
        <v>86</v>
      </c>
      <c r="D25" s="1" t="s">
        <v>87</v>
      </c>
      <c r="E25" s="1" t="s">
        <v>105</v>
      </c>
      <c r="F25" s="1" t="s">
        <v>106</v>
      </c>
      <c r="G25" s="1" t="s">
        <v>46</v>
      </c>
      <c r="H25" s="1">
        <v>4</v>
      </c>
      <c r="I25" s="1">
        <v>299.99</v>
      </c>
      <c r="J25" s="1" t="s">
        <v>20</v>
      </c>
      <c r="K25" s="1" t="s">
        <v>50</v>
      </c>
      <c r="L25" s="1" t="s">
        <v>27</v>
      </c>
      <c r="M25" s="2">
        <v>44716</v>
      </c>
      <c r="N25" s="13">
        <f>data[[#This Row],[Quantity]]*data[[#This Row],[Unit_Price]]</f>
        <v>1199.96</v>
      </c>
      <c r="O25" s="12">
        <f t="shared" ca="1" si="0"/>
        <v>4</v>
      </c>
      <c r="P25" s="10">
        <f t="shared" ca="1" si="1"/>
        <v>46308.73029861111</v>
      </c>
      <c r="Q25" s="11" t="str" cm="1">
        <f t="array" ref="Q25">_xlfn.TEXTJOIN("",TRUE,LEFT(_xlfn.TEXTSPLIT(data[[#This Row],[Customer_Name]]," "),1))</f>
        <v>MC</v>
      </c>
      <c r="R25" s="24">
        <f>EOMONTH(data[[#This Row],[Date]],0)</f>
        <v>45443</v>
      </c>
      <c r="S25" s="11">
        <f>MONTH(data[[#This Row],[Date]])</f>
        <v>5</v>
      </c>
    </row>
    <row r="26" spans="1:19" ht="15" thickBot="1">
      <c r="A26" s="3" t="s">
        <v>107</v>
      </c>
      <c r="B26" s="2">
        <v>45422</v>
      </c>
      <c r="C26" s="1" t="s">
        <v>108</v>
      </c>
      <c r="D26" s="1" t="s">
        <v>109</v>
      </c>
      <c r="E26" s="1" t="s">
        <v>17</v>
      </c>
      <c r="F26" s="1" t="s">
        <v>18</v>
      </c>
      <c r="G26" s="1" t="s">
        <v>19</v>
      </c>
      <c r="H26" s="1">
        <v>5</v>
      </c>
      <c r="I26" s="1">
        <v>249.99</v>
      </c>
      <c r="J26" s="1" t="s">
        <v>26</v>
      </c>
      <c r="K26" s="1" t="s">
        <v>50</v>
      </c>
      <c r="L26" s="1" t="s">
        <v>36</v>
      </c>
      <c r="M26" s="2">
        <v>44525</v>
      </c>
      <c r="N26" s="13">
        <f>data[[#This Row],[Quantity]]*data[[#This Row],[Unit_Price]]</f>
        <v>1249.95</v>
      </c>
      <c r="O26" s="12">
        <f t="shared" ca="1" si="0"/>
        <v>4</v>
      </c>
      <c r="P26" s="10">
        <f t="shared" ca="1" si="1"/>
        <v>46308.73029861111</v>
      </c>
      <c r="Q26" s="11" t="str" cm="1">
        <f t="array" ref="Q26">_xlfn.TEXTJOIN("",TRUE,LEFT(_xlfn.TEXTSPLIT(data[[#This Row],[Customer_Name]]," "),1))</f>
        <v>NC</v>
      </c>
      <c r="R26" s="24">
        <f>EOMONTH(data[[#This Row],[Date]],0)</f>
        <v>45443</v>
      </c>
      <c r="S26" s="11">
        <f>MONTH(data[[#This Row],[Date]])</f>
        <v>5</v>
      </c>
    </row>
    <row r="27" spans="1:19" ht="15" thickBot="1">
      <c r="A27" s="3" t="s">
        <v>110</v>
      </c>
      <c r="B27" s="2">
        <v>45424</v>
      </c>
      <c r="C27" s="1" t="s">
        <v>68</v>
      </c>
      <c r="D27" s="1" t="s">
        <v>69</v>
      </c>
      <c r="E27" s="1" t="s">
        <v>105</v>
      </c>
      <c r="F27" s="1" t="s">
        <v>106</v>
      </c>
      <c r="G27" s="1" t="s">
        <v>46</v>
      </c>
      <c r="H27" s="1">
        <v>5</v>
      </c>
      <c r="I27" s="1">
        <v>299.99</v>
      </c>
      <c r="J27" s="1" t="s">
        <v>34</v>
      </c>
      <c r="K27" s="1" t="s">
        <v>63</v>
      </c>
      <c r="L27" s="1" t="s">
        <v>22</v>
      </c>
      <c r="M27" s="2">
        <v>45168</v>
      </c>
      <c r="N27" s="13">
        <f>data[[#This Row],[Quantity]]*data[[#This Row],[Unit_Price]]</f>
        <v>1499.95</v>
      </c>
      <c r="O27" s="12">
        <f t="shared" ca="1" si="0"/>
        <v>3</v>
      </c>
      <c r="P27" s="10">
        <f t="shared" ca="1" si="1"/>
        <v>46308.73029861111</v>
      </c>
      <c r="Q27" s="11" t="str" cm="1">
        <f t="array" ref="Q27">_xlfn.TEXTJOIN("",TRUE,LEFT(_xlfn.TEXTSPLIT(data[[#This Row],[Customer_Name]]," "),1))</f>
        <v>SG</v>
      </c>
      <c r="R27" s="24">
        <f>EOMONTH(data[[#This Row],[Date]],0)</f>
        <v>45443</v>
      </c>
      <c r="S27" s="11">
        <f>MONTH(data[[#This Row],[Date]])</f>
        <v>5</v>
      </c>
    </row>
    <row r="28" spans="1:19" ht="15" thickBot="1">
      <c r="A28" s="3" t="s">
        <v>111</v>
      </c>
      <c r="B28" s="2">
        <v>45424</v>
      </c>
      <c r="C28" s="1" t="s">
        <v>112</v>
      </c>
      <c r="D28" s="1" t="s">
        <v>113</v>
      </c>
      <c r="E28" s="1" t="s">
        <v>114</v>
      </c>
      <c r="F28" s="1" t="s">
        <v>115</v>
      </c>
      <c r="G28" s="1" t="s">
        <v>33</v>
      </c>
      <c r="H28" s="1">
        <v>3</v>
      </c>
      <c r="I28" s="1">
        <v>79.989999999999995</v>
      </c>
      <c r="J28" s="1" t="s">
        <v>34</v>
      </c>
      <c r="K28" s="1" t="s">
        <v>63</v>
      </c>
      <c r="L28" s="1" t="s">
        <v>27</v>
      </c>
      <c r="M28" s="2">
        <v>45012</v>
      </c>
      <c r="N28" s="13">
        <f>data[[#This Row],[Quantity]]*data[[#This Row],[Unit_Price]]</f>
        <v>239.96999999999997</v>
      </c>
      <c r="O28" s="12">
        <f t="shared" ca="1" si="0"/>
        <v>3</v>
      </c>
      <c r="P28" s="10">
        <f t="shared" ca="1" si="1"/>
        <v>46308.73029861111</v>
      </c>
      <c r="Q28" s="11" t="str" cm="1">
        <f t="array" ref="Q28">_xlfn.TEXTJOIN("",TRUE,LEFT(_xlfn.TEXTSPLIT(data[[#This Row],[Customer_Name]]," "),1))</f>
        <v>LM</v>
      </c>
      <c r="R28" s="24">
        <f>EOMONTH(data[[#This Row],[Date]],0)</f>
        <v>45443</v>
      </c>
      <c r="S28" s="11">
        <f>MONTH(data[[#This Row],[Date]])</f>
        <v>5</v>
      </c>
    </row>
    <row r="29" spans="1:19" ht="15" thickBot="1">
      <c r="A29" s="3" t="s">
        <v>116</v>
      </c>
      <c r="B29" s="2">
        <v>45424</v>
      </c>
      <c r="C29" s="1" t="s">
        <v>99</v>
      </c>
      <c r="D29" s="1" t="s">
        <v>100</v>
      </c>
      <c r="E29" s="1" t="s">
        <v>117</v>
      </c>
      <c r="F29" s="1" t="s">
        <v>118</v>
      </c>
      <c r="G29" s="1" t="s">
        <v>19</v>
      </c>
      <c r="H29" s="1">
        <v>5</v>
      </c>
      <c r="I29" s="1">
        <v>89.99</v>
      </c>
      <c r="J29" s="1" t="s">
        <v>20</v>
      </c>
      <c r="K29" s="1" t="s">
        <v>40</v>
      </c>
      <c r="L29" s="1" t="s">
        <v>27</v>
      </c>
      <c r="M29" s="2">
        <v>44919</v>
      </c>
      <c r="N29" s="13">
        <f>data[[#This Row],[Quantity]]*data[[#This Row],[Unit_Price]]</f>
        <v>449.95</v>
      </c>
      <c r="O29" s="12">
        <f t="shared" ca="1" si="0"/>
        <v>3</v>
      </c>
      <c r="P29" s="10">
        <f t="shared" ca="1" si="1"/>
        <v>46308.73029861111</v>
      </c>
      <c r="Q29" s="11" t="str" cm="1">
        <f t="array" ref="Q29">_xlfn.TEXTJOIN("",TRUE,LEFT(_xlfn.TEXTSPLIT(data[[#This Row],[Customer_Name]]," "),1))</f>
        <v>PM</v>
      </c>
      <c r="R29" s="24">
        <f>EOMONTH(data[[#This Row],[Date]],0)</f>
        <v>45443</v>
      </c>
      <c r="S29" s="11">
        <f>MONTH(data[[#This Row],[Date]])</f>
        <v>5</v>
      </c>
    </row>
    <row r="30" spans="1:19" ht="15" thickBot="1">
      <c r="A30" s="3" t="s">
        <v>119</v>
      </c>
      <c r="B30" s="2">
        <v>45425</v>
      </c>
      <c r="C30" s="1" t="s">
        <v>120</v>
      </c>
      <c r="D30" s="1" t="s">
        <v>121</v>
      </c>
      <c r="E30" s="1" t="s">
        <v>31</v>
      </c>
      <c r="F30" s="1" t="s">
        <v>32</v>
      </c>
      <c r="G30" s="1" t="s">
        <v>33</v>
      </c>
      <c r="H30" s="1">
        <v>2</v>
      </c>
      <c r="I30" s="1">
        <v>59.99</v>
      </c>
      <c r="J30" s="1" t="s">
        <v>57</v>
      </c>
      <c r="K30" s="1" t="s">
        <v>21</v>
      </c>
      <c r="L30" s="1" t="s">
        <v>36</v>
      </c>
      <c r="M30" s="2">
        <v>45214</v>
      </c>
      <c r="N30" s="13">
        <f>data[[#This Row],[Quantity]]*data[[#This Row],[Unit_Price]]</f>
        <v>119.98</v>
      </c>
      <c r="O30" s="12">
        <f t="shared" ca="1" si="0"/>
        <v>2</v>
      </c>
      <c r="P30" s="10">
        <f t="shared" ca="1" si="1"/>
        <v>46308.73029861111</v>
      </c>
      <c r="Q30" s="11" t="str" cm="1">
        <f t="array" ref="Q30">_xlfn.TEXTJOIN("",TRUE,LEFT(_xlfn.TEXTSPLIT(data[[#This Row],[Customer_Name]]," "),1))</f>
        <v>HR</v>
      </c>
      <c r="R30" s="24">
        <f>EOMONTH(data[[#This Row],[Date]],0)</f>
        <v>45443</v>
      </c>
      <c r="S30" s="11">
        <f>MONTH(data[[#This Row],[Date]])</f>
        <v>5</v>
      </c>
    </row>
    <row r="31" spans="1:19" ht="15" thickBot="1">
      <c r="A31" s="3" t="s">
        <v>122</v>
      </c>
      <c r="B31" s="2">
        <v>45427</v>
      </c>
      <c r="C31" s="1" t="s">
        <v>123</v>
      </c>
      <c r="D31" s="1" t="s">
        <v>124</v>
      </c>
      <c r="E31" s="1" t="s">
        <v>31</v>
      </c>
      <c r="F31" s="1" t="s">
        <v>32</v>
      </c>
      <c r="G31" s="1" t="s">
        <v>33</v>
      </c>
      <c r="H31" s="1">
        <v>4</v>
      </c>
      <c r="I31" s="1">
        <v>59.99</v>
      </c>
      <c r="J31" s="1" t="s">
        <v>57</v>
      </c>
      <c r="K31" s="1" t="s">
        <v>63</v>
      </c>
      <c r="L31" s="1" t="s">
        <v>36</v>
      </c>
      <c r="M31" s="2">
        <v>44867</v>
      </c>
      <c r="N31" s="13">
        <f>data[[#This Row],[Quantity]]*data[[#This Row],[Unit_Price]]</f>
        <v>239.96</v>
      </c>
      <c r="O31" s="12">
        <f t="shared" ca="1" si="0"/>
        <v>3</v>
      </c>
      <c r="P31" s="10">
        <f t="shared" ca="1" si="1"/>
        <v>46308.73029861111</v>
      </c>
      <c r="Q31" s="11" t="str" cm="1">
        <f t="array" ref="Q31">_xlfn.TEXTJOIN("",TRUE,LEFT(_xlfn.TEXTSPLIT(data[[#This Row],[Customer_Name]]," "),1))</f>
        <v>EM</v>
      </c>
      <c r="R31" s="24">
        <f>EOMONTH(data[[#This Row],[Date]],0)</f>
        <v>45443</v>
      </c>
      <c r="S31" s="11">
        <f>MONTH(data[[#This Row],[Date]])</f>
        <v>5</v>
      </c>
    </row>
    <row r="32" spans="1:19" ht="15" thickBot="1">
      <c r="A32" s="3" t="s">
        <v>125</v>
      </c>
      <c r="B32" s="2">
        <v>45427</v>
      </c>
      <c r="C32" s="1" t="s">
        <v>55</v>
      </c>
      <c r="D32" s="1" t="s">
        <v>56</v>
      </c>
      <c r="E32" s="1" t="s">
        <v>126</v>
      </c>
      <c r="F32" s="1" t="s">
        <v>127</v>
      </c>
      <c r="G32" s="1" t="s">
        <v>46</v>
      </c>
      <c r="H32" s="1">
        <v>5</v>
      </c>
      <c r="I32" s="1">
        <v>199.99</v>
      </c>
      <c r="J32" s="1" t="s">
        <v>20</v>
      </c>
      <c r="K32" s="1" t="s">
        <v>35</v>
      </c>
      <c r="L32" s="1" t="s">
        <v>36</v>
      </c>
      <c r="M32" s="2">
        <v>44412</v>
      </c>
      <c r="N32" s="13">
        <f>data[[#This Row],[Quantity]]*data[[#This Row],[Unit_Price]]</f>
        <v>999.95</v>
      </c>
      <c r="O32" s="12">
        <f t="shared" ca="1" si="0"/>
        <v>5</v>
      </c>
      <c r="P32" s="10">
        <f t="shared" ca="1" si="1"/>
        <v>46308.73029861111</v>
      </c>
      <c r="Q32" s="11" t="str" cm="1">
        <f t="array" ref="Q32">_xlfn.TEXTJOIN("",TRUE,LEFT(_xlfn.TEXTSPLIT(data[[#This Row],[Customer_Name]]," "),1))</f>
        <v>CA</v>
      </c>
      <c r="R32" s="24">
        <f>EOMONTH(data[[#This Row],[Date]],0)</f>
        <v>45443</v>
      </c>
      <c r="S32" s="11">
        <f>MONTH(data[[#This Row],[Date]])</f>
        <v>5</v>
      </c>
    </row>
    <row r="33" spans="1:19" ht="15" thickBot="1">
      <c r="A33" s="3" t="s">
        <v>128</v>
      </c>
      <c r="B33" s="2">
        <v>45428</v>
      </c>
      <c r="C33" s="1" t="s">
        <v>129</v>
      </c>
      <c r="D33" s="1" t="s">
        <v>130</v>
      </c>
      <c r="E33" s="1" t="s">
        <v>44</v>
      </c>
      <c r="F33" s="1" t="s">
        <v>45</v>
      </c>
      <c r="G33" s="1" t="s">
        <v>46</v>
      </c>
      <c r="H33" s="1">
        <v>2</v>
      </c>
      <c r="I33" s="1">
        <v>149.99</v>
      </c>
      <c r="J33" s="1" t="s">
        <v>26</v>
      </c>
      <c r="K33" s="1" t="s">
        <v>50</v>
      </c>
      <c r="L33" s="1" t="s">
        <v>22</v>
      </c>
      <c r="M33" s="2">
        <v>44823</v>
      </c>
      <c r="N33" s="13">
        <f>data[[#This Row],[Quantity]]*data[[#This Row],[Unit_Price]]</f>
        <v>299.98</v>
      </c>
      <c r="O33" s="12">
        <f t="shared" ca="1" si="0"/>
        <v>4</v>
      </c>
      <c r="P33" s="10">
        <f t="shared" ca="1" si="1"/>
        <v>46308.73029861111</v>
      </c>
      <c r="Q33" s="11" t="str" cm="1">
        <f t="array" ref="Q33">_xlfn.TEXTJOIN("",TRUE,LEFT(_xlfn.TEXTSPLIT(data[[#This Row],[Customer_Name]]," "),1))</f>
        <v>LA</v>
      </c>
      <c r="R33" s="24">
        <f>EOMONTH(data[[#This Row],[Date]],0)</f>
        <v>45443</v>
      </c>
      <c r="S33" s="11">
        <f>MONTH(data[[#This Row],[Date]])</f>
        <v>5</v>
      </c>
    </row>
    <row r="34" spans="1:19" ht="15" thickBot="1">
      <c r="A34" s="3" t="s">
        <v>131</v>
      </c>
      <c r="B34" s="2">
        <v>45430</v>
      </c>
      <c r="C34" s="1" t="s">
        <v>132</v>
      </c>
      <c r="D34" s="1" t="s">
        <v>133</v>
      </c>
      <c r="E34" s="1" t="s">
        <v>44</v>
      </c>
      <c r="F34" s="1" t="s">
        <v>45</v>
      </c>
      <c r="G34" s="1" t="s">
        <v>46</v>
      </c>
      <c r="H34" s="1">
        <v>3</v>
      </c>
      <c r="I34" s="1">
        <v>149.99</v>
      </c>
      <c r="J34" s="1" t="s">
        <v>26</v>
      </c>
      <c r="K34" s="1" t="s">
        <v>50</v>
      </c>
      <c r="L34" s="1" t="s">
        <v>27</v>
      </c>
      <c r="M34" s="2">
        <v>45068</v>
      </c>
      <c r="N34" s="13">
        <f>data[[#This Row],[Quantity]]*data[[#This Row],[Unit_Price]]</f>
        <v>449.97</v>
      </c>
      <c r="O34" s="12">
        <f t="shared" ca="1" si="0"/>
        <v>3</v>
      </c>
      <c r="P34" s="10">
        <f t="shared" ca="1" si="1"/>
        <v>46308.73029861111</v>
      </c>
      <c r="Q34" s="11" t="str" cm="1">
        <f t="array" ref="Q34">_xlfn.TEXTJOIN("",TRUE,LEFT(_xlfn.TEXTSPLIT(data[[#This Row],[Customer_Name]]," "),1))</f>
        <v>EW</v>
      </c>
      <c r="R34" s="24">
        <f>EOMONTH(data[[#This Row],[Date]],0)</f>
        <v>45443</v>
      </c>
      <c r="S34" s="11">
        <f>MONTH(data[[#This Row],[Date]])</f>
        <v>5</v>
      </c>
    </row>
    <row r="35" spans="1:19" ht="15" thickBot="1">
      <c r="A35" s="3" t="s">
        <v>134</v>
      </c>
      <c r="B35" s="2">
        <v>45432</v>
      </c>
      <c r="C35" s="1" t="s">
        <v>29</v>
      </c>
      <c r="D35" s="1" t="s">
        <v>30</v>
      </c>
      <c r="E35" s="1" t="s">
        <v>61</v>
      </c>
      <c r="F35" s="1" t="s">
        <v>62</v>
      </c>
      <c r="G35" s="1" t="s">
        <v>19</v>
      </c>
      <c r="H35" s="1">
        <v>1</v>
      </c>
      <c r="I35" s="1">
        <v>899.99</v>
      </c>
      <c r="J35" s="1" t="s">
        <v>26</v>
      </c>
      <c r="K35" s="1" t="s">
        <v>50</v>
      </c>
      <c r="L35" s="1" t="s">
        <v>27</v>
      </c>
      <c r="M35" s="2">
        <v>44578</v>
      </c>
      <c r="N35" s="13">
        <f>data[[#This Row],[Quantity]]*data[[#This Row],[Unit_Price]]</f>
        <v>899.99</v>
      </c>
      <c r="O35" s="12">
        <f t="shared" ca="1" si="0"/>
        <v>4</v>
      </c>
      <c r="P35" s="10">
        <f t="shared" ca="1" si="1"/>
        <v>46308.73029861111</v>
      </c>
      <c r="Q35" s="11" t="str" cm="1">
        <f t="array" ref="Q35">_xlfn.TEXTJOIN("",TRUE,LEFT(_xlfn.TEXTSPLIT(data[[#This Row],[Customer_Name]]," "),1))</f>
        <v>KS</v>
      </c>
      <c r="R35" s="24">
        <f>EOMONTH(data[[#This Row],[Date]],0)</f>
        <v>45443</v>
      </c>
      <c r="S35" s="11">
        <f>MONTH(data[[#This Row],[Date]])</f>
        <v>5</v>
      </c>
    </row>
    <row r="36" spans="1:19" ht="15" thickBot="1">
      <c r="A36" s="3" t="s">
        <v>135</v>
      </c>
      <c r="B36" s="2">
        <v>45434</v>
      </c>
      <c r="C36" s="1" t="s">
        <v>99</v>
      </c>
      <c r="D36" s="1" t="s">
        <v>100</v>
      </c>
      <c r="E36" s="1" t="s">
        <v>105</v>
      </c>
      <c r="F36" s="1" t="s">
        <v>106</v>
      </c>
      <c r="G36" s="1" t="s">
        <v>46</v>
      </c>
      <c r="H36" s="1">
        <v>3</v>
      </c>
      <c r="I36" s="1">
        <v>299.99</v>
      </c>
      <c r="J36" s="1" t="s">
        <v>26</v>
      </c>
      <c r="K36" s="1" t="s">
        <v>63</v>
      </c>
      <c r="L36" s="1" t="s">
        <v>22</v>
      </c>
      <c r="M36" s="2">
        <v>44824</v>
      </c>
      <c r="N36" s="13">
        <f>data[[#This Row],[Quantity]]*data[[#This Row],[Unit_Price]]</f>
        <v>899.97</v>
      </c>
      <c r="O36" s="12">
        <f t="shared" ca="1" si="0"/>
        <v>4</v>
      </c>
      <c r="P36" s="10">
        <f t="shared" ca="1" si="1"/>
        <v>46308.73029861111</v>
      </c>
      <c r="Q36" s="11" t="str" cm="1">
        <f t="array" ref="Q36">_xlfn.TEXTJOIN("",TRUE,LEFT(_xlfn.TEXTSPLIT(data[[#This Row],[Customer_Name]]," "),1))</f>
        <v>PM</v>
      </c>
      <c r="R36" s="24">
        <f>EOMONTH(data[[#This Row],[Date]],0)</f>
        <v>45443</v>
      </c>
      <c r="S36" s="11">
        <f>MONTH(data[[#This Row],[Date]])</f>
        <v>5</v>
      </c>
    </row>
    <row r="37" spans="1:19" ht="15" thickBot="1">
      <c r="A37" s="3" t="s">
        <v>136</v>
      </c>
      <c r="B37" s="2">
        <v>45435</v>
      </c>
      <c r="C37" s="1" t="s">
        <v>129</v>
      </c>
      <c r="D37" s="1" t="s">
        <v>130</v>
      </c>
      <c r="E37" s="1" t="s">
        <v>114</v>
      </c>
      <c r="F37" s="1" t="s">
        <v>115</v>
      </c>
      <c r="G37" s="1" t="s">
        <v>33</v>
      </c>
      <c r="H37" s="1">
        <v>3</v>
      </c>
      <c r="I37" s="1">
        <v>79.989999999999995</v>
      </c>
      <c r="J37" s="1" t="s">
        <v>20</v>
      </c>
      <c r="K37" s="1" t="s">
        <v>35</v>
      </c>
      <c r="L37" s="1" t="s">
        <v>22</v>
      </c>
      <c r="M37" s="2">
        <v>45046</v>
      </c>
      <c r="N37" s="13">
        <f>data[[#This Row],[Quantity]]*data[[#This Row],[Unit_Price]]</f>
        <v>239.96999999999997</v>
      </c>
      <c r="O37" s="12">
        <f t="shared" ca="1" si="0"/>
        <v>3</v>
      </c>
      <c r="P37" s="10">
        <f t="shared" ca="1" si="1"/>
        <v>46308.73029861111</v>
      </c>
      <c r="Q37" s="11" t="str" cm="1">
        <f t="array" ref="Q37">_xlfn.TEXTJOIN("",TRUE,LEFT(_xlfn.TEXTSPLIT(data[[#This Row],[Customer_Name]]," "),1))</f>
        <v>LA</v>
      </c>
      <c r="R37" s="24">
        <f>EOMONTH(data[[#This Row],[Date]],0)</f>
        <v>45443</v>
      </c>
      <c r="S37" s="11">
        <f>MONTH(data[[#This Row],[Date]])</f>
        <v>5</v>
      </c>
    </row>
    <row r="38" spans="1:19" ht="15" thickBot="1">
      <c r="A38" s="3" t="s">
        <v>137</v>
      </c>
      <c r="B38" s="2">
        <v>45438</v>
      </c>
      <c r="C38" s="1" t="s">
        <v>138</v>
      </c>
      <c r="D38" s="1" t="s">
        <v>139</v>
      </c>
      <c r="E38" s="1" t="s">
        <v>126</v>
      </c>
      <c r="F38" s="1" t="s">
        <v>127</v>
      </c>
      <c r="G38" s="1" t="s">
        <v>46</v>
      </c>
      <c r="H38" s="1">
        <v>3</v>
      </c>
      <c r="I38" s="1">
        <v>199.99</v>
      </c>
      <c r="J38" s="1" t="s">
        <v>26</v>
      </c>
      <c r="K38" s="1" t="s">
        <v>40</v>
      </c>
      <c r="L38" s="1" t="s">
        <v>27</v>
      </c>
      <c r="M38" s="2">
        <v>45292</v>
      </c>
      <c r="N38" s="13">
        <f>data[[#This Row],[Quantity]]*data[[#This Row],[Unit_Price]]</f>
        <v>599.97</v>
      </c>
      <c r="O38" s="12">
        <f t="shared" ca="1" si="0"/>
        <v>2</v>
      </c>
      <c r="P38" s="10">
        <f t="shared" ca="1" si="1"/>
        <v>46308.73029861111</v>
      </c>
      <c r="Q38" s="11" t="str" cm="1">
        <f t="array" ref="Q38">_xlfn.TEXTJOIN("",TRUE,LEFT(_xlfn.TEXTSPLIT(data[[#This Row],[Customer_Name]]," "),1))</f>
        <v>ST</v>
      </c>
      <c r="R38" s="24">
        <f>EOMONTH(data[[#This Row],[Date]],0)</f>
        <v>45443</v>
      </c>
      <c r="S38" s="11">
        <f>MONTH(data[[#This Row],[Date]])</f>
        <v>5</v>
      </c>
    </row>
    <row r="39" spans="1:19" ht="15" thickBot="1">
      <c r="A39" s="3" t="s">
        <v>140</v>
      </c>
      <c r="B39" s="2">
        <v>45440</v>
      </c>
      <c r="C39" s="1" t="s">
        <v>141</v>
      </c>
      <c r="D39" s="1" t="s">
        <v>142</v>
      </c>
      <c r="E39" s="1" t="s">
        <v>80</v>
      </c>
      <c r="F39" s="1" t="s">
        <v>81</v>
      </c>
      <c r="G39" s="1" t="s">
        <v>19</v>
      </c>
      <c r="H39" s="1">
        <v>5</v>
      </c>
      <c r="I39" s="1">
        <v>699.99</v>
      </c>
      <c r="J39" s="1" t="s">
        <v>34</v>
      </c>
      <c r="K39" s="1" t="s">
        <v>50</v>
      </c>
      <c r="L39" s="1" t="s">
        <v>36</v>
      </c>
      <c r="M39" s="2">
        <v>44407</v>
      </c>
      <c r="N39" s="13">
        <f>data[[#This Row],[Quantity]]*data[[#This Row],[Unit_Price]]</f>
        <v>3499.95</v>
      </c>
      <c r="O39" s="12">
        <f t="shared" ca="1" si="0"/>
        <v>5</v>
      </c>
      <c r="P39" s="10">
        <f t="shared" ca="1" si="1"/>
        <v>46308.73029861111</v>
      </c>
      <c r="Q39" s="11" t="str" cm="1">
        <f t="array" ref="Q39">_xlfn.TEXTJOIN("",TRUE,LEFT(_xlfn.TEXTSPLIT(data[[#This Row],[Customer_Name]]," "),1))</f>
        <v>JT</v>
      </c>
      <c r="R39" s="24">
        <f>EOMONTH(data[[#This Row],[Date]],0)</f>
        <v>45443</v>
      </c>
      <c r="S39" s="11">
        <f>MONTH(data[[#This Row],[Date]])</f>
        <v>5</v>
      </c>
    </row>
    <row r="40" spans="1:19" ht="15" thickBot="1">
      <c r="A40" s="3" t="s">
        <v>143</v>
      </c>
      <c r="B40" s="2">
        <v>45441</v>
      </c>
      <c r="C40" s="1" t="s">
        <v>144</v>
      </c>
      <c r="D40" s="1" t="s">
        <v>145</v>
      </c>
      <c r="E40" s="1" t="s">
        <v>117</v>
      </c>
      <c r="F40" s="1" t="s">
        <v>118</v>
      </c>
      <c r="G40" s="1" t="s">
        <v>19</v>
      </c>
      <c r="H40" s="1">
        <v>3</v>
      </c>
      <c r="I40" s="1">
        <v>89.99</v>
      </c>
      <c r="J40" s="1" t="s">
        <v>34</v>
      </c>
      <c r="K40" s="1" t="s">
        <v>21</v>
      </c>
      <c r="L40" s="1" t="s">
        <v>27</v>
      </c>
      <c r="M40" s="2">
        <v>45120</v>
      </c>
      <c r="N40" s="13">
        <f>data[[#This Row],[Quantity]]*data[[#This Row],[Unit_Price]]</f>
        <v>269.96999999999997</v>
      </c>
      <c r="O40" s="12">
        <f t="shared" ca="1" si="0"/>
        <v>3</v>
      </c>
      <c r="P40" s="10">
        <f t="shared" ca="1" si="1"/>
        <v>46308.73029861111</v>
      </c>
      <c r="Q40" s="11" t="str" cm="1">
        <f t="array" ref="Q40">_xlfn.TEXTJOIN("",TRUE,LEFT(_xlfn.TEXTSPLIT(data[[#This Row],[Customer_Name]]," "),1))</f>
        <v>HM</v>
      </c>
      <c r="R40" s="24">
        <f>EOMONTH(data[[#This Row],[Date]],0)</f>
        <v>45443</v>
      </c>
      <c r="S40" s="11">
        <f>MONTH(data[[#This Row],[Date]])</f>
        <v>5</v>
      </c>
    </row>
    <row r="41" spans="1:19" ht="15" thickBot="1">
      <c r="A41" s="3" t="s">
        <v>146</v>
      </c>
      <c r="B41" s="2">
        <v>45443</v>
      </c>
      <c r="C41" s="1" t="s">
        <v>147</v>
      </c>
      <c r="D41" s="1" t="s">
        <v>148</v>
      </c>
      <c r="E41" s="1" t="s">
        <v>114</v>
      </c>
      <c r="F41" s="1" t="s">
        <v>115</v>
      </c>
      <c r="G41" s="1" t="s">
        <v>33</v>
      </c>
      <c r="H41" s="1">
        <v>1</v>
      </c>
      <c r="I41" s="1">
        <v>79.989999999999995</v>
      </c>
      <c r="J41" s="1" t="s">
        <v>20</v>
      </c>
      <c r="K41" s="1" t="s">
        <v>40</v>
      </c>
      <c r="L41" s="1" t="s">
        <v>36</v>
      </c>
      <c r="M41" s="2">
        <v>44917</v>
      </c>
      <c r="N41" s="13">
        <f>data[[#This Row],[Quantity]]*data[[#This Row],[Unit_Price]]</f>
        <v>79.989999999999995</v>
      </c>
      <c r="O41" s="12">
        <f t="shared" ca="1" si="0"/>
        <v>3</v>
      </c>
      <c r="P41" s="10">
        <f t="shared" ca="1" si="1"/>
        <v>46308.73029861111</v>
      </c>
      <c r="Q41" s="11" t="str" cm="1">
        <f t="array" ref="Q41">_xlfn.TEXTJOIN("",TRUE,LEFT(_xlfn.TEXTSPLIT(data[[#This Row],[Customer_Name]]," "),1))</f>
        <v>DK</v>
      </c>
      <c r="R41" s="24">
        <f>EOMONTH(data[[#This Row],[Date]],0)</f>
        <v>45443</v>
      </c>
      <c r="S41" s="11">
        <f>MONTH(data[[#This Row],[Date]])</f>
        <v>5</v>
      </c>
    </row>
    <row r="42" spans="1:19" ht="15" thickBot="1">
      <c r="A42" s="3" t="s">
        <v>149</v>
      </c>
      <c r="B42" s="2">
        <v>45444</v>
      </c>
      <c r="C42" s="1" t="s">
        <v>150</v>
      </c>
      <c r="D42" s="1" t="s">
        <v>151</v>
      </c>
      <c r="E42" s="1" t="s">
        <v>31</v>
      </c>
      <c r="F42" s="1" t="s">
        <v>32</v>
      </c>
      <c r="G42" s="1" t="s">
        <v>33</v>
      </c>
      <c r="H42" s="1">
        <v>2</v>
      </c>
      <c r="I42" s="1">
        <v>59.99</v>
      </c>
      <c r="J42" s="1" t="s">
        <v>20</v>
      </c>
      <c r="K42" s="1" t="s">
        <v>50</v>
      </c>
      <c r="L42" s="1" t="s">
        <v>22</v>
      </c>
      <c r="M42" s="2">
        <v>45390</v>
      </c>
      <c r="N42" s="13">
        <f>data[[#This Row],[Quantity]]*data[[#This Row],[Unit_Price]]</f>
        <v>119.98</v>
      </c>
      <c r="O42" s="12">
        <f t="shared" ca="1" si="0"/>
        <v>2</v>
      </c>
      <c r="P42" s="10">
        <f t="shared" ca="1" si="1"/>
        <v>46308.73029861111</v>
      </c>
      <c r="Q42" s="11" t="str" cm="1">
        <f t="array" ref="Q42">_xlfn.TEXTJOIN("",TRUE,LEFT(_xlfn.TEXTSPLIT(data[[#This Row],[Customer_Name]]," "),1))</f>
        <v>SB</v>
      </c>
      <c r="R42" s="24">
        <f>EOMONTH(data[[#This Row],[Date]],0)</f>
        <v>45473</v>
      </c>
      <c r="S42" s="11">
        <f>MONTH(data[[#This Row],[Date]])</f>
        <v>6</v>
      </c>
    </row>
    <row r="43" spans="1:19" ht="15" thickBot="1">
      <c r="A43" s="3" t="s">
        <v>152</v>
      </c>
      <c r="B43" s="2">
        <v>45444</v>
      </c>
      <c r="C43" s="1" t="s">
        <v>55</v>
      </c>
      <c r="D43" s="1" t="s">
        <v>56</v>
      </c>
      <c r="E43" s="1" t="s">
        <v>117</v>
      </c>
      <c r="F43" s="1" t="s">
        <v>118</v>
      </c>
      <c r="G43" s="1" t="s">
        <v>19</v>
      </c>
      <c r="H43" s="1">
        <v>1</v>
      </c>
      <c r="I43" s="1">
        <v>89.99</v>
      </c>
      <c r="J43" s="1" t="s">
        <v>20</v>
      </c>
      <c r="K43" s="1" t="s">
        <v>40</v>
      </c>
      <c r="L43" s="1" t="s">
        <v>22</v>
      </c>
      <c r="M43" s="2">
        <v>45141</v>
      </c>
      <c r="N43" s="13">
        <f>data[[#This Row],[Quantity]]*data[[#This Row],[Unit_Price]]</f>
        <v>89.99</v>
      </c>
      <c r="O43" s="12">
        <f t="shared" ca="1" si="0"/>
        <v>3</v>
      </c>
      <c r="P43" s="10">
        <f t="shared" ca="1" si="1"/>
        <v>46308.73029861111</v>
      </c>
      <c r="Q43" s="11" t="str" cm="1">
        <f t="array" ref="Q43">_xlfn.TEXTJOIN("",TRUE,LEFT(_xlfn.TEXTSPLIT(data[[#This Row],[Customer_Name]]," "),1))</f>
        <v>CA</v>
      </c>
      <c r="R43" s="24">
        <f>EOMONTH(data[[#This Row],[Date]],0)</f>
        <v>45473</v>
      </c>
      <c r="S43" s="11">
        <f>MONTH(data[[#This Row],[Date]])</f>
        <v>6</v>
      </c>
    </row>
    <row r="44" spans="1:19" ht="15" thickBot="1">
      <c r="A44" s="3" t="s">
        <v>153</v>
      </c>
      <c r="B44" s="2">
        <v>45446</v>
      </c>
      <c r="C44" s="1" t="s">
        <v>154</v>
      </c>
      <c r="D44" s="1" t="s">
        <v>155</v>
      </c>
      <c r="E44" s="1" t="s">
        <v>117</v>
      </c>
      <c r="F44" s="1" t="s">
        <v>118</v>
      </c>
      <c r="G44" s="1" t="s">
        <v>19</v>
      </c>
      <c r="H44" s="1">
        <v>5</v>
      </c>
      <c r="I44" s="1">
        <v>89.99</v>
      </c>
      <c r="J44" s="1" t="s">
        <v>26</v>
      </c>
      <c r="K44" s="1" t="s">
        <v>63</v>
      </c>
      <c r="L44" s="1" t="s">
        <v>36</v>
      </c>
      <c r="M44" s="2">
        <v>44587</v>
      </c>
      <c r="N44" s="13">
        <f>data[[#This Row],[Quantity]]*data[[#This Row],[Unit_Price]]</f>
        <v>449.95</v>
      </c>
      <c r="O44" s="12">
        <f t="shared" ca="1" si="0"/>
        <v>4</v>
      </c>
      <c r="P44" s="10">
        <f t="shared" ca="1" si="1"/>
        <v>46308.73029861111</v>
      </c>
      <c r="Q44" s="11" t="str" cm="1">
        <f t="array" ref="Q44">_xlfn.TEXTJOIN("",TRUE,LEFT(_xlfn.TEXTSPLIT(data[[#This Row],[Customer_Name]]," "),1))</f>
        <v>SD</v>
      </c>
      <c r="R44" s="24">
        <f>EOMONTH(data[[#This Row],[Date]],0)</f>
        <v>45473</v>
      </c>
      <c r="S44" s="11">
        <f>MONTH(data[[#This Row],[Date]])</f>
        <v>6</v>
      </c>
    </row>
    <row r="45" spans="1:19" ht="15" thickBot="1">
      <c r="A45" s="3" t="s">
        <v>156</v>
      </c>
      <c r="B45" s="2">
        <v>45449</v>
      </c>
      <c r="C45" s="1" t="s">
        <v>24</v>
      </c>
      <c r="D45" s="1" t="s">
        <v>25</v>
      </c>
      <c r="E45" s="1" t="s">
        <v>17</v>
      </c>
      <c r="F45" s="1" t="s">
        <v>18</v>
      </c>
      <c r="G45" s="1" t="s">
        <v>19</v>
      </c>
      <c r="H45" s="1">
        <v>5</v>
      </c>
      <c r="I45" s="1">
        <v>249.99</v>
      </c>
      <c r="J45" s="1" t="s">
        <v>26</v>
      </c>
      <c r="K45" s="1" t="s">
        <v>63</v>
      </c>
      <c r="L45" s="1" t="s">
        <v>36</v>
      </c>
      <c r="M45" s="2">
        <v>44707</v>
      </c>
      <c r="N45" s="13">
        <f>data[[#This Row],[Quantity]]*data[[#This Row],[Unit_Price]]</f>
        <v>1249.95</v>
      </c>
      <c r="O45" s="12">
        <f t="shared" ca="1" si="0"/>
        <v>4</v>
      </c>
      <c r="P45" s="10">
        <f t="shared" ca="1" si="1"/>
        <v>46308.73029861111</v>
      </c>
      <c r="Q45" s="11" t="str" cm="1">
        <f t="array" ref="Q45">_xlfn.TEXTJOIN("",TRUE,LEFT(_xlfn.TEXTSPLIT(data[[#This Row],[Customer_Name]]," "),1))</f>
        <v>JJ</v>
      </c>
      <c r="R45" s="24">
        <f>EOMONTH(data[[#This Row],[Date]],0)</f>
        <v>45473</v>
      </c>
      <c r="S45" s="11">
        <f>MONTH(data[[#This Row],[Date]])</f>
        <v>6</v>
      </c>
    </row>
    <row r="46" spans="1:19" ht="15" thickBot="1">
      <c r="A46" s="3" t="s">
        <v>157</v>
      </c>
      <c r="B46" s="2">
        <v>45449</v>
      </c>
      <c r="C46" s="1" t="s">
        <v>158</v>
      </c>
      <c r="D46" s="1" t="s">
        <v>159</v>
      </c>
      <c r="E46" s="1" t="s">
        <v>117</v>
      </c>
      <c r="F46" s="1" t="s">
        <v>118</v>
      </c>
      <c r="G46" s="1" t="s">
        <v>19</v>
      </c>
      <c r="H46" s="1">
        <v>1</v>
      </c>
      <c r="I46" s="1">
        <v>89.99</v>
      </c>
      <c r="J46" s="1" t="s">
        <v>26</v>
      </c>
      <c r="K46" s="1" t="s">
        <v>35</v>
      </c>
      <c r="L46" s="1" t="s">
        <v>36</v>
      </c>
      <c r="M46" s="2">
        <v>44582</v>
      </c>
      <c r="N46" s="13">
        <f>data[[#This Row],[Quantity]]*data[[#This Row],[Unit_Price]]</f>
        <v>89.99</v>
      </c>
      <c r="O46" s="12">
        <f t="shared" ca="1" si="0"/>
        <v>4</v>
      </c>
      <c r="P46" s="10">
        <f t="shared" ca="1" si="1"/>
        <v>46308.73029861111</v>
      </c>
      <c r="Q46" s="11" t="str" cm="1">
        <f t="array" ref="Q46">_xlfn.TEXTJOIN("",TRUE,LEFT(_xlfn.TEXTSPLIT(data[[#This Row],[Customer_Name]]," "),1))</f>
        <v>BC</v>
      </c>
      <c r="R46" s="24">
        <f>EOMONTH(data[[#This Row],[Date]],0)</f>
        <v>45473</v>
      </c>
      <c r="S46" s="11">
        <f>MONTH(data[[#This Row],[Date]])</f>
        <v>6</v>
      </c>
    </row>
    <row r="47" spans="1:19" ht="15" thickBot="1">
      <c r="A47" s="3" t="s">
        <v>160</v>
      </c>
      <c r="B47" s="2">
        <v>45450</v>
      </c>
      <c r="C47" s="1" t="s">
        <v>42</v>
      </c>
      <c r="D47" s="1" t="s">
        <v>43</v>
      </c>
      <c r="E47" s="1" t="s">
        <v>44</v>
      </c>
      <c r="F47" s="1" t="s">
        <v>45</v>
      </c>
      <c r="G47" s="1" t="s">
        <v>46</v>
      </c>
      <c r="H47" s="1">
        <v>2</v>
      </c>
      <c r="I47" s="1">
        <v>149.99</v>
      </c>
      <c r="J47" s="1" t="s">
        <v>20</v>
      </c>
      <c r="K47" s="1" t="s">
        <v>63</v>
      </c>
      <c r="L47" s="1" t="s">
        <v>27</v>
      </c>
      <c r="M47" s="2">
        <v>44645</v>
      </c>
      <c r="N47" s="13">
        <f>data[[#This Row],[Quantity]]*data[[#This Row],[Unit_Price]]</f>
        <v>299.98</v>
      </c>
      <c r="O47" s="12">
        <f t="shared" ca="1" si="0"/>
        <v>4</v>
      </c>
      <c r="P47" s="10">
        <f t="shared" ca="1" si="1"/>
        <v>46308.73029861111</v>
      </c>
      <c r="Q47" s="11" t="str" cm="1">
        <f t="array" ref="Q47">_xlfn.TEXTJOIN("",TRUE,LEFT(_xlfn.TEXTSPLIT(data[[#This Row],[Customer_Name]]," "),1))</f>
        <v>MB</v>
      </c>
      <c r="R47" s="24">
        <f>EOMONTH(data[[#This Row],[Date]],0)</f>
        <v>45473</v>
      </c>
      <c r="S47" s="11">
        <f>MONTH(data[[#This Row],[Date]])</f>
        <v>6</v>
      </c>
    </row>
    <row r="48" spans="1:19" ht="15" thickBot="1">
      <c r="A48" s="3" t="s">
        <v>161</v>
      </c>
      <c r="B48" s="2">
        <v>45452</v>
      </c>
      <c r="C48" s="1" t="s">
        <v>162</v>
      </c>
      <c r="D48" s="1" t="s">
        <v>163</v>
      </c>
      <c r="E48" s="1" t="s">
        <v>31</v>
      </c>
      <c r="F48" s="1" t="s">
        <v>32</v>
      </c>
      <c r="G48" s="1" t="s">
        <v>33</v>
      </c>
      <c r="H48" s="1">
        <v>4</v>
      </c>
      <c r="I48" s="1">
        <v>59.99</v>
      </c>
      <c r="J48" s="1" t="s">
        <v>20</v>
      </c>
      <c r="K48" s="1" t="s">
        <v>63</v>
      </c>
      <c r="L48" s="1" t="s">
        <v>36</v>
      </c>
      <c r="M48" s="2">
        <v>44435</v>
      </c>
      <c r="N48" s="13">
        <f>data[[#This Row],[Quantity]]*data[[#This Row],[Unit_Price]]</f>
        <v>239.96</v>
      </c>
      <c r="O48" s="12">
        <f t="shared" ca="1" si="0"/>
        <v>5</v>
      </c>
      <c r="P48" s="10">
        <f t="shared" ca="1" si="1"/>
        <v>46308.73029861111</v>
      </c>
      <c r="Q48" s="11" t="str" cm="1">
        <f t="array" ref="Q48">_xlfn.TEXTJOIN("",TRUE,LEFT(_xlfn.TEXTSPLIT(data[[#This Row],[Customer_Name]]," "),1))</f>
        <v>JF</v>
      </c>
      <c r="R48" s="24">
        <f>EOMONTH(data[[#This Row],[Date]],0)</f>
        <v>45473</v>
      </c>
      <c r="S48" s="11">
        <f>MONTH(data[[#This Row],[Date]])</f>
        <v>6</v>
      </c>
    </row>
    <row r="49" spans="1:19" ht="15" thickBot="1">
      <c r="A49" s="3" t="s">
        <v>164</v>
      </c>
      <c r="B49" s="2">
        <v>45456</v>
      </c>
      <c r="C49" s="1" t="s">
        <v>129</v>
      </c>
      <c r="D49" s="1" t="s">
        <v>130</v>
      </c>
      <c r="E49" s="1" t="s">
        <v>117</v>
      </c>
      <c r="F49" s="1" t="s">
        <v>118</v>
      </c>
      <c r="G49" s="1" t="s">
        <v>19</v>
      </c>
      <c r="H49" s="1">
        <v>5</v>
      </c>
      <c r="I49" s="1">
        <v>89.99</v>
      </c>
      <c r="J49" s="1" t="s">
        <v>20</v>
      </c>
      <c r="K49" s="1" t="s">
        <v>21</v>
      </c>
      <c r="L49" s="1" t="s">
        <v>27</v>
      </c>
      <c r="M49" s="2">
        <v>44579</v>
      </c>
      <c r="N49" s="13">
        <f>data[[#This Row],[Quantity]]*data[[#This Row],[Unit_Price]]</f>
        <v>449.95</v>
      </c>
      <c r="O49" s="12">
        <f t="shared" ca="1" si="0"/>
        <v>4</v>
      </c>
      <c r="P49" s="10">
        <f t="shared" ca="1" si="1"/>
        <v>46308.73029861111</v>
      </c>
      <c r="Q49" s="11" t="str" cm="1">
        <f t="array" ref="Q49">_xlfn.TEXTJOIN("",TRUE,LEFT(_xlfn.TEXTSPLIT(data[[#This Row],[Customer_Name]]," "),1))</f>
        <v>LA</v>
      </c>
      <c r="R49" s="24">
        <f>EOMONTH(data[[#This Row],[Date]],0)</f>
        <v>45473</v>
      </c>
      <c r="S49" s="11">
        <f>MONTH(data[[#This Row],[Date]])</f>
        <v>6</v>
      </c>
    </row>
    <row r="50" spans="1:19" ht="15" thickBot="1">
      <c r="A50" s="3" t="s">
        <v>165</v>
      </c>
      <c r="B50" s="2">
        <v>45459</v>
      </c>
      <c r="C50" s="1" t="s">
        <v>99</v>
      </c>
      <c r="D50" s="1" t="s">
        <v>100</v>
      </c>
      <c r="E50" s="1" t="s">
        <v>117</v>
      </c>
      <c r="F50" s="1" t="s">
        <v>118</v>
      </c>
      <c r="G50" s="1" t="s">
        <v>19</v>
      </c>
      <c r="H50" s="1">
        <v>2</v>
      </c>
      <c r="I50" s="1">
        <v>89.99</v>
      </c>
      <c r="J50" s="1" t="s">
        <v>26</v>
      </c>
      <c r="K50" s="1" t="s">
        <v>35</v>
      </c>
      <c r="L50" s="1" t="s">
        <v>27</v>
      </c>
      <c r="M50" s="2">
        <v>44471</v>
      </c>
      <c r="N50" s="13">
        <f>data[[#This Row],[Quantity]]*data[[#This Row],[Unit_Price]]</f>
        <v>179.98</v>
      </c>
      <c r="O50" s="12">
        <f t="shared" ca="1" si="0"/>
        <v>5</v>
      </c>
      <c r="P50" s="10">
        <f t="shared" ca="1" si="1"/>
        <v>46308.73029861111</v>
      </c>
      <c r="Q50" s="11" t="str" cm="1">
        <f t="array" ref="Q50">_xlfn.TEXTJOIN("",TRUE,LEFT(_xlfn.TEXTSPLIT(data[[#This Row],[Customer_Name]]," "),1))</f>
        <v>PM</v>
      </c>
      <c r="R50" s="24">
        <f>EOMONTH(data[[#This Row],[Date]],0)</f>
        <v>45473</v>
      </c>
      <c r="S50" s="11">
        <f>MONTH(data[[#This Row],[Date]])</f>
        <v>6</v>
      </c>
    </row>
    <row r="51" spans="1:19" ht="15" thickBot="1">
      <c r="A51" s="3" t="s">
        <v>166</v>
      </c>
      <c r="B51" s="2">
        <v>45459</v>
      </c>
      <c r="C51" s="1" t="s">
        <v>15</v>
      </c>
      <c r="D51" s="1" t="s">
        <v>16</v>
      </c>
      <c r="E51" s="1" t="s">
        <v>61</v>
      </c>
      <c r="F51" s="1" t="s">
        <v>62</v>
      </c>
      <c r="G51" s="1" t="s">
        <v>19</v>
      </c>
      <c r="H51" s="1">
        <v>5</v>
      </c>
      <c r="I51" s="1">
        <v>899.99</v>
      </c>
      <c r="J51" s="1" t="s">
        <v>26</v>
      </c>
      <c r="K51" s="1" t="s">
        <v>35</v>
      </c>
      <c r="L51" s="1" t="s">
        <v>36</v>
      </c>
      <c r="M51" s="2">
        <v>44974</v>
      </c>
      <c r="N51" s="13">
        <f>data[[#This Row],[Quantity]]*data[[#This Row],[Unit_Price]]</f>
        <v>4499.95</v>
      </c>
      <c r="O51" s="12">
        <f t="shared" ca="1" si="0"/>
        <v>3</v>
      </c>
      <c r="P51" s="10">
        <f t="shared" ca="1" si="1"/>
        <v>46308.73029861111</v>
      </c>
      <c r="Q51" s="11" t="str" cm="1">
        <f t="array" ref="Q51">_xlfn.TEXTJOIN("",TRUE,LEFT(_xlfn.TEXTSPLIT(data[[#This Row],[Customer_Name]]," "),1))</f>
        <v>PB</v>
      </c>
      <c r="R51" s="24">
        <f>EOMONTH(data[[#This Row],[Date]],0)</f>
        <v>45473</v>
      </c>
      <c r="S51" s="11">
        <f>MONTH(data[[#This Row],[Date]])</f>
        <v>6</v>
      </c>
    </row>
    <row r="52" spans="1:19" ht="15" thickBot="1">
      <c r="A52" s="3" t="s">
        <v>167</v>
      </c>
      <c r="B52" s="2">
        <v>45459</v>
      </c>
      <c r="C52" s="1" t="s">
        <v>123</v>
      </c>
      <c r="D52" s="1" t="s">
        <v>124</v>
      </c>
      <c r="E52" s="1" t="s">
        <v>61</v>
      </c>
      <c r="F52" s="1" t="s">
        <v>62</v>
      </c>
      <c r="G52" s="1" t="s">
        <v>19</v>
      </c>
      <c r="H52" s="1">
        <v>5</v>
      </c>
      <c r="I52" s="1">
        <v>899.99</v>
      </c>
      <c r="J52" s="1" t="s">
        <v>34</v>
      </c>
      <c r="K52" s="1" t="s">
        <v>63</v>
      </c>
      <c r="L52" s="1" t="s">
        <v>27</v>
      </c>
      <c r="M52" s="2">
        <v>45278</v>
      </c>
      <c r="N52" s="13">
        <f>data[[#This Row],[Quantity]]*data[[#This Row],[Unit_Price]]</f>
        <v>4499.95</v>
      </c>
      <c r="O52" s="12">
        <f t="shared" ca="1" si="0"/>
        <v>2</v>
      </c>
      <c r="P52" s="10">
        <f t="shared" ca="1" si="1"/>
        <v>46308.73029861111</v>
      </c>
      <c r="Q52" s="11" t="str" cm="1">
        <f t="array" ref="Q52">_xlfn.TEXTJOIN("",TRUE,LEFT(_xlfn.TEXTSPLIT(data[[#This Row],[Customer_Name]]," "),1))</f>
        <v>EM</v>
      </c>
      <c r="R52" s="24">
        <f>EOMONTH(data[[#This Row],[Date]],0)</f>
        <v>45473</v>
      </c>
      <c r="S52" s="11">
        <f>MONTH(data[[#This Row],[Date]])</f>
        <v>6</v>
      </c>
    </row>
    <row r="53" spans="1:19" ht="15" thickBot="1">
      <c r="A53" s="3" t="s">
        <v>168</v>
      </c>
      <c r="B53" s="2">
        <v>45460</v>
      </c>
      <c r="C53" s="1" t="s">
        <v>158</v>
      </c>
      <c r="D53" s="1" t="s">
        <v>159</v>
      </c>
      <c r="E53" s="1" t="s">
        <v>31</v>
      </c>
      <c r="F53" s="1" t="s">
        <v>32</v>
      </c>
      <c r="G53" s="1" t="s">
        <v>33</v>
      </c>
      <c r="H53" s="1">
        <v>1</v>
      </c>
      <c r="I53" s="1">
        <v>59.99</v>
      </c>
      <c r="J53" s="1" t="s">
        <v>57</v>
      </c>
      <c r="K53" s="1" t="s">
        <v>50</v>
      </c>
      <c r="L53" s="1" t="s">
        <v>27</v>
      </c>
      <c r="M53" s="2">
        <v>45190</v>
      </c>
      <c r="N53" s="13">
        <f>data[[#This Row],[Quantity]]*data[[#This Row],[Unit_Price]]</f>
        <v>59.99</v>
      </c>
      <c r="O53" s="12">
        <f t="shared" ca="1" si="0"/>
        <v>3</v>
      </c>
      <c r="P53" s="10">
        <f t="shared" ca="1" si="1"/>
        <v>46308.73029861111</v>
      </c>
      <c r="Q53" s="11" t="str" cm="1">
        <f t="array" ref="Q53">_xlfn.TEXTJOIN("",TRUE,LEFT(_xlfn.TEXTSPLIT(data[[#This Row],[Customer_Name]]," "),1))</f>
        <v>BC</v>
      </c>
      <c r="R53" s="24">
        <f>EOMONTH(data[[#This Row],[Date]],0)</f>
        <v>45473</v>
      </c>
      <c r="S53" s="11">
        <f>MONTH(data[[#This Row],[Date]])</f>
        <v>6</v>
      </c>
    </row>
    <row r="54" spans="1:19" ht="15" thickBot="1">
      <c r="A54" s="3" t="s">
        <v>169</v>
      </c>
      <c r="B54" s="2">
        <v>45460</v>
      </c>
      <c r="C54" s="1" t="s">
        <v>141</v>
      </c>
      <c r="D54" s="1" t="s">
        <v>142</v>
      </c>
      <c r="E54" s="1" t="s">
        <v>105</v>
      </c>
      <c r="F54" s="1" t="s">
        <v>106</v>
      </c>
      <c r="G54" s="1" t="s">
        <v>46</v>
      </c>
      <c r="H54" s="1">
        <v>2</v>
      </c>
      <c r="I54" s="1">
        <v>299.99</v>
      </c>
      <c r="J54" s="1" t="s">
        <v>57</v>
      </c>
      <c r="K54" s="1" t="s">
        <v>63</v>
      </c>
      <c r="L54" s="1" t="s">
        <v>36</v>
      </c>
      <c r="M54" s="2">
        <v>45253</v>
      </c>
      <c r="N54" s="13">
        <f>data[[#This Row],[Quantity]]*data[[#This Row],[Unit_Price]]</f>
        <v>599.98</v>
      </c>
      <c r="O54" s="12">
        <f t="shared" ca="1" si="0"/>
        <v>2</v>
      </c>
      <c r="P54" s="10">
        <f t="shared" ca="1" si="1"/>
        <v>46308.73029861111</v>
      </c>
      <c r="Q54" s="11" t="str" cm="1">
        <f t="array" ref="Q54">_xlfn.TEXTJOIN("",TRUE,LEFT(_xlfn.TEXTSPLIT(data[[#This Row],[Customer_Name]]," "),1))</f>
        <v>JT</v>
      </c>
      <c r="R54" s="24">
        <f>EOMONTH(data[[#This Row],[Date]],0)</f>
        <v>45473</v>
      </c>
      <c r="S54" s="11">
        <f>MONTH(data[[#This Row],[Date]])</f>
        <v>6</v>
      </c>
    </row>
    <row r="55" spans="1:19" ht="15" thickBot="1">
      <c r="A55" s="3" t="s">
        <v>170</v>
      </c>
      <c r="B55" s="2">
        <v>45468</v>
      </c>
      <c r="C55" s="1" t="s">
        <v>171</v>
      </c>
      <c r="D55" s="1" t="s">
        <v>172</v>
      </c>
      <c r="E55" s="1" t="s">
        <v>117</v>
      </c>
      <c r="F55" s="1" t="s">
        <v>118</v>
      </c>
      <c r="G55" s="1" t="s">
        <v>19</v>
      </c>
      <c r="H55" s="1">
        <v>4</v>
      </c>
      <c r="I55" s="1">
        <v>89.99</v>
      </c>
      <c r="J55" s="1" t="s">
        <v>57</v>
      </c>
      <c r="K55" s="1" t="s">
        <v>35</v>
      </c>
      <c r="L55" s="1" t="s">
        <v>22</v>
      </c>
      <c r="M55" s="2">
        <v>45281</v>
      </c>
      <c r="N55" s="13">
        <f>data[[#This Row],[Quantity]]*data[[#This Row],[Unit_Price]]</f>
        <v>359.96</v>
      </c>
      <c r="O55" s="12">
        <f t="shared" ca="1" si="0"/>
        <v>2</v>
      </c>
      <c r="P55" s="10">
        <f t="shared" ca="1" si="1"/>
        <v>46308.73029861111</v>
      </c>
      <c r="Q55" s="11" t="str" cm="1">
        <f t="array" ref="Q55">_xlfn.TEXTJOIN("",TRUE,LEFT(_xlfn.TEXTSPLIT(data[[#This Row],[Customer_Name]]," "),1))</f>
        <v>RR</v>
      </c>
      <c r="R55" s="24">
        <f>EOMONTH(data[[#This Row],[Date]],0)</f>
        <v>45473</v>
      </c>
      <c r="S55" s="11">
        <f>MONTH(data[[#This Row],[Date]])</f>
        <v>6</v>
      </c>
    </row>
    <row r="56" spans="1:19" ht="15" thickBot="1">
      <c r="A56" s="3" t="s">
        <v>173</v>
      </c>
      <c r="B56" s="2">
        <v>45469</v>
      </c>
      <c r="C56" s="1" t="s">
        <v>29</v>
      </c>
      <c r="D56" s="1" t="s">
        <v>30</v>
      </c>
      <c r="E56" s="1" t="s">
        <v>114</v>
      </c>
      <c r="F56" s="1" t="s">
        <v>115</v>
      </c>
      <c r="G56" s="1" t="s">
        <v>33</v>
      </c>
      <c r="H56" s="1">
        <v>1</v>
      </c>
      <c r="I56" s="1">
        <v>79.989999999999995</v>
      </c>
      <c r="J56" s="1" t="s">
        <v>34</v>
      </c>
      <c r="K56" s="1" t="s">
        <v>21</v>
      </c>
      <c r="L56" s="1" t="s">
        <v>27</v>
      </c>
      <c r="M56" s="2">
        <v>45352</v>
      </c>
      <c r="N56" s="13">
        <f>data[[#This Row],[Quantity]]*data[[#This Row],[Unit_Price]]</f>
        <v>79.989999999999995</v>
      </c>
      <c r="O56" s="12">
        <f t="shared" ca="1" si="0"/>
        <v>2</v>
      </c>
      <c r="P56" s="10">
        <f t="shared" ca="1" si="1"/>
        <v>46308.73029861111</v>
      </c>
      <c r="Q56" s="11" t="str" cm="1">
        <f t="array" ref="Q56">_xlfn.TEXTJOIN("",TRUE,LEFT(_xlfn.TEXTSPLIT(data[[#This Row],[Customer_Name]]," "),1))</f>
        <v>KS</v>
      </c>
      <c r="R56" s="24">
        <f>EOMONTH(data[[#This Row],[Date]],0)</f>
        <v>45473</v>
      </c>
      <c r="S56" s="11">
        <f>MONTH(data[[#This Row],[Date]])</f>
        <v>6</v>
      </c>
    </row>
    <row r="57" spans="1:19" ht="15" thickBot="1">
      <c r="A57" s="3" t="s">
        <v>174</v>
      </c>
      <c r="B57" s="2">
        <v>45469</v>
      </c>
      <c r="C57" s="1" t="s">
        <v>59</v>
      </c>
      <c r="D57" s="1" t="s">
        <v>60</v>
      </c>
      <c r="E57" s="1" t="s">
        <v>117</v>
      </c>
      <c r="F57" s="1" t="s">
        <v>118</v>
      </c>
      <c r="G57" s="1" t="s">
        <v>19</v>
      </c>
      <c r="H57" s="1">
        <v>2</v>
      </c>
      <c r="I57" s="1">
        <v>89.99</v>
      </c>
      <c r="J57" s="1" t="s">
        <v>20</v>
      </c>
      <c r="K57" s="1" t="s">
        <v>50</v>
      </c>
      <c r="L57" s="1" t="s">
        <v>22</v>
      </c>
      <c r="M57" s="2">
        <v>44438</v>
      </c>
      <c r="N57" s="13">
        <f>data[[#This Row],[Quantity]]*data[[#This Row],[Unit_Price]]</f>
        <v>179.98</v>
      </c>
      <c r="O57" s="12">
        <f t="shared" ca="1" si="0"/>
        <v>5</v>
      </c>
      <c r="P57" s="10">
        <f t="shared" ca="1" si="1"/>
        <v>46308.73029861111</v>
      </c>
      <c r="Q57" s="11" t="str" cm="1">
        <f t="array" ref="Q57">_xlfn.TEXTJOIN("",TRUE,LEFT(_xlfn.TEXTSPLIT(data[[#This Row],[Customer_Name]]," "),1))</f>
        <v>RT</v>
      </c>
      <c r="R57" s="24">
        <f>EOMONTH(data[[#This Row],[Date]],0)</f>
        <v>45473</v>
      </c>
      <c r="S57" s="11">
        <f>MONTH(data[[#This Row],[Date]])</f>
        <v>6</v>
      </c>
    </row>
    <row r="58" spans="1:19" ht="15" thickBot="1">
      <c r="A58" s="3" t="s">
        <v>175</v>
      </c>
      <c r="B58" s="2">
        <v>45471</v>
      </c>
      <c r="C58" s="1" t="s">
        <v>38</v>
      </c>
      <c r="D58" s="1" t="s">
        <v>39</v>
      </c>
      <c r="E58" s="1" t="s">
        <v>80</v>
      </c>
      <c r="F58" s="1" t="s">
        <v>81</v>
      </c>
      <c r="G58" s="1" t="s">
        <v>19</v>
      </c>
      <c r="H58" s="1">
        <v>3</v>
      </c>
      <c r="I58" s="1">
        <v>699.99</v>
      </c>
      <c r="J58" s="1" t="s">
        <v>26</v>
      </c>
      <c r="K58" s="1" t="s">
        <v>63</v>
      </c>
      <c r="L58" s="1" t="s">
        <v>27</v>
      </c>
      <c r="M58" s="2">
        <v>45102</v>
      </c>
      <c r="N58" s="13">
        <f>data[[#This Row],[Quantity]]*data[[#This Row],[Unit_Price]]</f>
        <v>2099.9700000000003</v>
      </c>
      <c r="O58" s="12">
        <f t="shared" ca="1" si="0"/>
        <v>3</v>
      </c>
      <c r="P58" s="10">
        <f t="shared" ca="1" si="1"/>
        <v>46308.73029861111</v>
      </c>
      <c r="Q58" s="11" t="str" cm="1">
        <f t="array" ref="Q58">_xlfn.TEXTJOIN("",TRUE,LEFT(_xlfn.TEXTSPLIT(data[[#This Row],[Customer_Name]]," "),1))</f>
        <v>KB</v>
      </c>
      <c r="R58" s="24">
        <f>EOMONTH(data[[#This Row],[Date]],0)</f>
        <v>45473</v>
      </c>
      <c r="S58" s="11">
        <f>MONTH(data[[#This Row],[Date]])</f>
        <v>6</v>
      </c>
    </row>
    <row r="59" spans="1:19" ht="15" thickBot="1">
      <c r="A59" s="3" t="s">
        <v>176</v>
      </c>
      <c r="B59" s="2">
        <v>45471</v>
      </c>
      <c r="C59" s="1" t="s">
        <v>99</v>
      </c>
      <c r="D59" s="1" t="s">
        <v>100</v>
      </c>
      <c r="E59" s="1" t="s">
        <v>61</v>
      </c>
      <c r="F59" s="1" t="s">
        <v>62</v>
      </c>
      <c r="G59" s="1" t="s">
        <v>19</v>
      </c>
      <c r="H59" s="1">
        <v>4</v>
      </c>
      <c r="I59" s="1">
        <v>899.99</v>
      </c>
      <c r="J59" s="1" t="s">
        <v>26</v>
      </c>
      <c r="K59" s="1" t="s">
        <v>63</v>
      </c>
      <c r="L59" s="1" t="s">
        <v>27</v>
      </c>
      <c r="M59" s="2">
        <v>44993</v>
      </c>
      <c r="N59" s="13">
        <f>data[[#This Row],[Quantity]]*data[[#This Row],[Unit_Price]]</f>
        <v>3599.96</v>
      </c>
      <c r="O59" s="12">
        <f t="shared" ca="1" si="0"/>
        <v>3</v>
      </c>
      <c r="P59" s="10">
        <f t="shared" ca="1" si="1"/>
        <v>46308.73029861111</v>
      </c>
      <c r="Q59" s="11" t="str" cm="1">
        <f t="array" ref="Q59">_xlfn.TEXTJOIN("",TRUE,LEFT(_xlfn.TEXTSPLIT(data[[#This Row],[Customer_Name]]," "),1))</f>
        <v>PM</v>
      </c>
      <c r="R59" s="24">
        <f>EOMONTH(data[[#This Row],[Date]],0)</f>
        <v>45473</v>
      </c>
      <c r="S59" s="11">
        <f>MONTH(data[[#This Row],[Date]])</f>
        <v>6</v>
      </c>
    </row>
    <row r="60" spans="1:19" ht="15" thickBot="1">
      <c r="A60" s="3" t="s">
        <v>177</v>
      </c>
      <c r="B60" s="2">
        <v>45472</v>
      </c>
      <c r="C60" s="1" t="s">
        <v>120</v>
      </c>
      <c r="D60" s="1" t="s">
        <v>121</v>
      </c>
      <c r="E60" s="1" t="s">
        <v>44</v>
      </c>
      <c r="F60" s="1" t="s">
        <v>45</v>
      </c>
      <c r="G60" s="1" t="s">
        <v>46</v>
      </c>
      <c r="H60" s="1">
        <v>1</v>
      </c>
      <c r="I60" s="1">
        <v>149.99</v>
      </c>
      <c r="J60" s="1" t="s">
        <v>34</v>
      </c>
      <c r="K60" s="1" t="s">
        <v>63</v>
      </c>
      <c r="L60" s="1" t="s">
        <v>22</v>
      </c>
      <c r="M60" s="2">
        <v>44851</v>
      </c>
      <c r="N60" s="13">
        <f>data[[#This Row],[Quantity]]*data[[#This Row],[Unit_Price]]</f>
        <v>149.99</v>
      </c>
      <c r="O60" s="12">
        <f t="shared" ca="1" si="0"/>
        <v>3</v>
      </c>
      <c r="P60" s="10">
        <f t="shared" ca="1" si="1"/>
        <v>46308.73029861111</v>
      </c>
      <c r="Q60" s="11" t="str" cm="1">
        <f t="array" ref="Q60">_xlfn.TEXTJOIN("",TRUE,LEFT(_xlfn.TEXTSPLIT(data[[#This Row],[Customer_Name]]," "),1))</f>
        <v>HR</v>
      </c>
      <c r="R60" s="24">
        <f>EOMONTH(data[[#This Row],[Date]],0)</f>
        <v>45473</v>
      </c>
      <c r="S60" s="11">
        <f>MONTH(data[[#This Row],[Date]])</f>
        <v>6</v>
      </c>
    </row>
    <row r="61" spans="1:19" ht="15" thickBot="1">
      <c r="A61" s="3" t="s">
        <v>178</v>
      </c>
      <c r="B61" s="2">
        <v>45474</v>
      </c>
      <c r="C61" s="1" t="s">
        <v>132</v>
      </c>
      <c r="D61" s="1" t="s">
        <v>133</v>
      </c>
      <c r="E61" s="1" t="s">
        <v>117</v>
      </c>
      <c r="F61" s="1" t="s">
        <v>118</v>
      </c>
      <c r="G61" s="1" t="s">
        <v>19</v>
      </c>
      <c r="H61" s="1">
        <v>2</v>
      </c>
      <c r="I61" s="1">
        <v>89.99</v>
      </c>
      <c r="J61" s="1" t="s">
        <v>34</v>
      </c>
      <c r="K61" s="1" t="s">
        <v>21</v>
      </c>
      <c r="L61" s="1" t="s">
        <v>27</v>
      </c>
      <c r="M61" s="2">
        <v>45275</v>
      </c>
      <c r="N61" s="13">
        <f>data[[#This Row],[Quantity]]*data[[#This Row],[Unit_Price]]</f>
        <v>179.98</v>
      </c>
      <c r="O61" s="12">
        <f t="shared" ca="1" si="0"/>
        <v>2</v>
      </c>
      <c r="P61" s="10">
        <f t="shared" ca="1" si="1"/>
        <v>46308.73029861111</v>
      </c>
      <c r="Q61" s="11" t="str" cm="1">
        <f t="array" ref="Q61">_xlfn.TEXTJOIN("",TRUE,LEFT(_xlfn.TEXTSPLIT(data[[#This Row],[Customer_Name]]," "),1))</f>
        <v>EW</v>
      </c>
      <c r="R61" s="24">
        <f>EOMONTH(data[[#This Row],[Date]],0)</f>
        <v>45504</v>
      </c>
      <c r="S61" s="11">
        <f>MONTH(data[[#This Row],[Date]])</f>
        <v>7</v>
      </c>
    </row>
    <row r="62" spans="1:19" ht="15" thickBot="1">
      <c r="A62" s="3" t="s">
        <v>179</v>
      </c>
      <c r="B62" s="2">
        <v>45475</v>
      </c>
      <c r="C62" s="1" t="s">
        <v>55</v>
      </c>
      <c r="D62" s="1" t="s">
        <v>56</v>
      </c>
      <c r="E62" s="1" t="s">
        <v>117</v>
      </c>
      <c r="F62" s="1" t="s">
        <v>118</v>
      </c>
      <c r="G62" s="1" t="s">
        <v>19</v>
      </c>
      <c r="H62" s="1">
        <v>1</v>
      </c>
      <c r="I62" s="1">
        <v>89.99</v>
      </c>
      <c r="J62" s="1" t="s">
        <v>34</v>
      </c>
      <c r="K62" s="1" t="s">
        <v>50</v>
      </c>
      <c r="L62" s="1" t="s">
        <v>36</v>
      </c>
      <c r="M62" s="2">
        <v>44802</v>
      </c>
      <c r="N62" s="13">
        <f>data[[#This Row],[Quantity]]*data[[#This Row],[Unit_Price]]</f>
        <v>89.99</v>
      </c>
      <c r="O62" s="12">
        <f t="shared" ca="1" si="0"/>
        <v>4</v>
      </c>
      <c r="P62" s="10">
        <f t="shared" ca="1" si="1"/>
        <v>46308.73029861111</v>
      </c>
      <c r="Q62" s="11" t="str" cm="1">
        <f t="array" ref="Q62">_xlfn.TEXTJOIN("",TRUE,LEFT(_xlfn.TEXTSPLIT(data[[#This Row],[Customer_Name]]," "),1))</f>
        <v>CA</v>
      </c>
      <c r="R62" s="24">
        <f>EOMONTH(data[[#This Row],[Date]],0)</f>
        <v>45504</v>
      </c>
      <c r="S62" s="11">
        <f>MONTH(data[[#This Row],[Date]])</f>
        <v>7</v>
      </c>
    </row>
    <row r="63" spans="1:19" ht="15" thickBot="1">
      <c r="A63" s="3" t="s">
        <v>180</v>
      </c>
      <c r="B63" s="2">
        <v>45476</v>
      </c>
      <c r="C63" s="1" t="s">
        <v>68</v>
      </c>
      <c r="D63" s="1" t="s">
        <v>69</v>
      </c>
      <c r="E63" s="1" t="s">
        <v>117</v>
      </c>
      <c r="F63" s="1" t="s">
        <v>118</v>
      </c>
      <c r="G63" s="1" t="s">
        <v>19</v>
      </c>
      <c r="H63" s="1">
        <v>1</v>
      </c>
      <c r="I63" s="1">
        <v>89.99</v>
      </c>
      <c r="J63" s="1" t="s">
        <v>20</v>
      </c>
      <c r="K63" s="1" t="s">
        <v>35</v>
      </c>
      <c r="L63" s="1" t="s">
        <v>36</v>
      </c>
      <c r="M63" s="2">
        <v>44611</v>
      </c>
      <c r="N63" s="13">
        <f>data[[#This Row],[Quantity]]*data[[#This Row],[Unit_Price]]</f>
        <v>89.99</v>
      </c>
      <c r="O63" s="12">
        <f t="shared" ca="1" si="0"/>
        <v>4</v>
      </c>
      <c r="P63" s="10">
        <f t="shared" ca="1" si="1"/>
        <v>46308.73029861111</v>
      </c>
      <c r="Q63" s="11" t="str" cm="1">
        <f t="array" ref="Q63">_xlfn.TEXTJOIN("",TRUE,LEFT(_xlfn.TEXTSPLIT(data[[#This Row],[Customer_Name]]," "),1))</f>
        <v>SG</v>
      </c>
      <c r="R63" s="24">
        <f>EOMONTH(data[[#This Row],[Date]],0)</f>
        <v>45504</v>
      </c>
      <c r="S63" s="11">
        <f>MONTH(data[[#This Row],[Date]])</f>
        <v>7</v>
      </c>
    </row>
    <row r="64" spans="1:19" ht="15" thickBot="1">
      <c r="A64" s="3" t="s">
        <v>181</v>
      </c>
      <c r="B64" s="2">
        <v>45476</v>
      </c>
      <c r="C64" s="1" t="s">
        <v>182</v>
      </c>
      <c r="D64" s="1" t="s">
        <v>183</v>
      </c>
      <c r="E64" s="1" t="s">
        <v>114</v>
      </c>
      <c r="F64" s="1" t="s">
        <v>115</v>
      </c>
      <c r="G64" s="1" t="s">
        <v>33</v>
      </c>
      <c r="H64" s="1">
        <v>5</v>
      </c>
      <c r="I64" s="1">
        <v>79.989999999999995</v>
      </c>
      <c r="J64" s="1" t="s">
        <v>57</v>
      </c>
      <c r="K64" s="1" t="s">
        <v>21</v>
      </c>
      <c r="L64" s="1" t="s">
        <v>22</v>
      </c>
      <c r="M64" s="2">
        <v>44981</v>
      </c>
      <c r="N64" s="13">
        <f>data[[#This Row],[Quantity]]*data[[#This Row],[Unit_Price]]</f>
        <v>399.95</v>
      </c>
      <c r="O64" s="12">
        <f t="shared" ca="1" si="0"/>
        <v>3</v>
      </c>
      <c r="P64" s="10">
        <f t="shared" ca="1" si="1"/>
        <v>46308.73029861111</v>
      </c>
      <c r="Q64" s="11" t="str" cm="1">
        <f t="array" ref="Q64">_xlfn.TEXTJOIN("",TRUE,LEFT(_xlfn.TEXTSPLIT(data[[#This Row],[Customer_Name]]," "),1))</f>
        <v>DM</v>
      </c>
      <c r="R64" s="24">
        <f>EOMONTH(data[[#This Row],[Date]],0)</f>
        <v>45504</v>
      </c>
      <c r="S64" s="11">
        <f>MONTH(data[[#This Row],[Date]])</f>
        <v>7</v>
      </c>
    </row>
    <row r="65" spans="1:19" ht="15" thickBot="1">
      <c r="A65" s="3" t="s">
        <v>184</v>
      </c>
      <c r="B65" s="2">
        <v>45481</v>
      </c>
      <c r="C65" s="1" t="s">
        <v>185</v>
      </c>
      <c r="D65" s="1" t="s">
        <v>186</v>
      </c>
      <c r="E65" s="1" t="s">
        <v>44</v>
      </c>
      <c r="F65" s="1" t="s">
        <v>45</v>
      </c>
      <c r="G65" s="1" t="s">
        <v>46</v>
      </c>
      <c r="H65" s="1">
        <v>1</v>
      </c>
      <c r="I65" s="1">
        <v>149.99</v>
      </c>
      <c r="J65" s="1" t="s">
        <v>34</v>
      </c>
      <c r="K65" s="1" t="s">
        <v>40</v>
      </c>
      <c r="L65" s="1" t="s">
        <v>22</v>
      </c>
      <c r="M65" s="2">
        <v>44421</v>
      </c>
      <c r="N65" s="13">
        <f>data[[#This Row],[Quantity]]*data[[#This Row],[Unit_Price]]</f>
        <v>149.99</v>
      </c>
      <c r="O65" s="12">
        <f t="shared" ca="1" si="0"/>
        <v>5</v>
      </c>
      <c r="P65" s="10">
        <f t="shared" ca="1" si="1"/>
        <v>46308.73029861111</v>
      </c>
      <c r="Q65" s="11" t="str" cm="1">
        <f t="array" ref="Q65">_xlfn.TEXTJOIN("",TRUE,LEFT(_xlfn.TEXTSPLIT(data[[#This Row],[Customer_Name]]," "),1))</f>
        <v>MW</v>
      </c>
      <c r="R65" s="24">
        <f>EOMONTH(data[[#This Row],[Date]],0)</f>
        <v>45504</v>
      </c>
      <c r="S65" s="11">
        <f>MONTH(data[[#This Row],[Date]])</f>
        <v>7</v>
      </c>
    </row>
    <row r="66" spans="1:19" ht="15" thickBot="1">
      <c r="A66" s="3" t="s">
        <v>187</v>
      </c>
      <c r="B66" s="2">
        <v>45481</v>
      </c>
      <c r="C66" s="1" t="s">
        <v>42</v>
      </c>
      <c r="D66" s="1" t="s">
        <v>43</v>
      </c>
      <c r="E66" s="1" t="s">
        <v>80</v>
      </c>
      <c r="F66" s="1" t="s">
        <v>81</v>
      </c>
      <c r="G66" s="1" t="s">
        <v>19</v>
      </c>
      <c r="H66" s="1">
        <v>2</v>
      </c>
      <c r="I66" s="1">
        <v>699.99</v>
      </c>
      <c r="J66" s="1" t="s">
        <v>34</v>
      </c>
      <c r="K66" s="1" t="s">
        <v>63</v>
      </c>
      <c r="L66" s="1" t="s">
        <v>27</v>
      </c>
      <c r="M66" s="2">
        <v>45389</v>
      </c>
      <c r="N66" s="13">
        <f>data[[#This Row],[Quantity]]*data[[#This Row],[Unit_Price]]</f>
        <v>1399.98</v>
      </c>
      <c r="O66" s="12">
        <f t="shared" ref="O66:O129" ca="1" si="2">DATEDIF(M66,TODAY(),"Y")</f>
        <v>2</v>
      </c>
      <c r="P66" s="10">
        <f t="shared" ref="P66:P129" ca="1" si="3">NOW()</f>
        <v>46308.73029861111</v>
      </c>
      <c r="Q66" s="11" t="str" cm="1">
        <f t="array" ref="Q66">_xlfn.TEXTJOIN("",TRUE,LEFT(_xlfn.TEXTSPLIT(data[[#This Row],[Customer_Name]]," "),1))</f>
        <v>MB</v>
      </c>
      <c r="R66" s="24">
        <f>EOMONTH(data[[#This Row],[Date]],0)</f>
        <v>45504</v>
      </c>
      <c r="S66" s="11">
        <f>MONTH(data[[#This Row],[Date]])</f>
        <v>7</v>
      </c>
    </row>
    <row r="67" spans="1:19" ht="15" thickBot="1">
      <c r="A67" s="3" t="s">
        <v>188</v>
      </c>
      <c r="B67" s="2">
        <v>45481</v>
      </c>
      <c r="C67" s="1" t="s">
        <v>96</v>
      </c>
      <c r="D67" s="1" t="s">
        <v>97</v>
      </c>
      <c r="E67" s="1" t="s">
        <v>117</v>
      </c>
      <c r="F67" s="1" t="s">
        <v>118</v>
      </c>
      <c r="G67" s="1" t="s">
        <v>19</v>
      </c>
      <c r="H67" s="1">
        <v>5</v>
      </c>
      <c r="I67" s="1">
        <v>89.99</v>
      </c>
      <c r="J67" s="1" t="s">
        <v>57</v>
      </c>
      <c r="K67" s="1" t="s">
        <v>40</v>
      </c>
      <c r="L67" s="1" t="s">
        <v>27</v>
      </c>
      <c r="M67" s="2">
        <v>45161</v>
      </c>
      <c r="N67" s="13">
        <f>data[[#This Row],[Quantity]]*data[[#This Row],[Unit_Price]]</f>
        <v>449.95</v>
      </c>
      <c r="O67" s="12">
        <f t="shared" ca="1" si="2"/>
        <v>3</v>
      </c>
      <c r="P67" s="10">
        <f t="shared" ca="1" si="3"/>
        <v>46308.73029861111</v>
      </c>
      <c r="Q67" s="11" t="str" cm="1">
        <f t="array" ref="Q67">_xlfn.TEXTJOIN("",TRUE,LEFT(_xlfn.TEXTSPLIT(data[[#This Row],[Customer_Name]]," "),1))</f>
        <v>BY</v>
      </c>
      <c r="R67" s="24">
        <f>EOMONTH(data[[#This Row],[Date]],0)</f>
        <v>45504</v>
      </c>
      <c r="S67" s="11">
        <f>MONTH(data[[#This Row],[Date]])</f>
        <v>7</v>
      </c>
    </row>
    <row r="68" spans="1:19" ht="15" thickBot="1">
      <c r="A68" s="3" t="s">
        <v>189</v>
      </c>
      <c r="B68" s="2">
        <v>45482</v>
      </c>
      <c r="C68" s="1" t="s">
        <v>171</v>
      </c>
      <c r="D68" s="1" t="s">
        <v>172</v>
      </c>
      <c r="E68" s="1" t="s">
        <v>31</v>
      </c>
      <c r="F68" s="1" t="s">
        <v>32</v>
      </c>
      <c r="G68" s="1" t="s">
        <v>33</v>
      </c>
      <c r="H68" s="1">
        <v>4</v>
      </c>
      <c r="I68" s="1">
        <v>59.99</v>
      </c>
      <c r="J68" s="1" t="s">
        <v>20</v>
      </c>
      <c r="K68" s="1" t="s">
        <v>35</v>
      </c>
      <c r="L68" s="1" t="s">
        <v>36</v>
      </c>
      <c r="M68" s="2">
        <v>44509</v>
      </c>
      <c r="N68" s="13">
        <f>data[[#This Row],[Quantity]]*data[[#This Row],[Unit_Price]]</f>
        <v>239.96</v>
      </c>
      <c r="O68" s="12">
        <f t="shared" ca="1" si="2"/>
        <v>4</v>
      </c>
      <c r="P68" s="10">
        <f t="shared" ca="1" si="3"/>
        <v>46308.73029861111</v>
      </c>
      <c r="Q68" s="11" t="str" cm="1">
        <f t="array" ref="Q68">_xlfn.TEXTJOIN("",TRUE,LEFT(_xlfn.TEXTSPLIT(data[[#This Row],[Customer_Name]]," "),1))</f>
        <v>RR</v>
      </c>
      <c r="R68" s="24">
        <f>EOMONTH(data[[#This Row],[Date]],0)</f>
        <v>45504</v>
      </c>
      <c r="S68" s="11">
        <f>MONTH(data[[#This Row],[Date]])</f>
        <v>7</v>
      </c>
    </row>
    <row r="69" spans="1:19" ht="15" thickBot="1">
      <c r="A69" s="3" t="s">
        <v>190</v>
      </c>
      <c r="B69" s="2">
        <v>45484</v>
      </c>
      <c r="C69" s="1" t="s">
        <v>24</v>
      </c>
      <c r="D69" s="1" t="s">
        <v>25</v>
      </c>
      <c r="E69" s="1" t="s">
        <v>52</v>
      </c>
      <c r="F69" s="1" t="s">
        <v>53</v>
      </c>
      <c r="G69" s="1" t="s">
        <v>19</v>
      </c>
      <c r="H69" s="1">
        <v>1</v>
      </c>
      <c r="I69" s="1">
        <v>149.99</v>
      </c>
      <c r="J69" s="1" t="s">
        <v>20</v>
      </c>
      <c r="K69" s="1" t="s">
        <v>21</v>
      </c>
      <c r="L69" s="1" t="s">
        <v>36</v>
      </c>
      <c r="M69" s="2">
        <v>44909</v>
      </c>
      <c r="N69" s="13">
        <f>data[[#This Row],[Quantity]]*data[[#This Row],[Unit_Price]]</f>
        <v>149.99</v>
      </c>
      <c r="O69" s="12">
        <f t="shared" ca="1" si="2"/>
        <v>3</v>
      </c>
      <c r="P69" s="10">
        <f t="shared" ca="1" si="3"/>
        <v>46308.73029861111</v>
      </c>
      <c r="Q69" s="11" t="str" cm="1">
        <f t="array" ref="Q69">_xlfn.TEXTJOIN("",TRUE,LEFT(_xlfn.TEXTSPLIT(data[[#This Row],[Customer_Name]]," "),1))</f>
        <v>JJ</v>
      </c>
      <c r="R69" s="24">
        <f>EOMONTH(data[[#This Row],[Date]],0)</f>
        <v>45504</v>
      </c>
      <c r="S69" s="11">
        <f>MONTH(data[[#This Row],[Date]])</f>
        <v>7</v>
      </c>
    </row>
    <row r="70" spans="1:19" ht="15" thickBot="1">
      <c r="A70" s="3" t="s">
        <v>191</v>
      </c>
      <c r="B70" s="2">
        <v>45484</v>
      </c>
      <c r="C70" s="1" t="s">
        <v>192</v>
      </c>
      <c r="D70" s="1" t="s">
        <v>193</v>
      </c>
      <c r="E70" s="1" t="s">
        <v>105</v>
      </c>
      <c r="F70" s="1" t="s">
        <v>106</v>
      </c>
      <c r="G70" s="1" t="s">
        <v>46</v>
      </c>
      <c r="H70" s="1">
        <v>1</v>
      </c>
      <c r="I70" s="1">
        <v>299.99</v>
      </c>
      <c r="J70" s="1" t="s">
        <v>26</v>
      </c>
      <c r="K70" s="1" t="s">
        <v>40</v>
      </c>
      <c r="L70" s="1" t="s">
        <v>27</v>
      </c>
      <c r="M70" s="2">
        <v>44891</v>
      </c>
      <c r="N70" s="13">
        <f>data[[#This Row],[Quantity]]*data[[#This Row],[Unit_Price]]</f>
        <v>299.99</v>
      </c>
      <c r="O70" s="12">
        <f t="shared" ca="1" si="2"/>
        <v>3</v>
      </c>
      <c r="P70" s="10">
        <f t="shared" ca="1" si="3"/>
        <v>46308.73029861111</v>
      </c>
      <c r="Q70" s="11" t="str" cm="1">
        <f t="array" ref="Q70">_xlfn.TEXTJOIN("",TRUE,LEFT(_xlfn.TEXTSPLIT(data[[#This Row],[Customer_Name]]," "),1))</f>
        <v>FT</v>
      </c>
      <c r="R70" s="24">
        <f>EOMONTH(data[[#This Row],[Date]],0)</f>
        <v>45504</v>
      </c>
      <c r="S70" s="11">
        <f>MONTH(data[[#This Row],[Date]])</f>
        <v>7</v>
      </c>
    </row>
    <row r="71" spans="1:19" ht="15" thickBot="1">
      <c r="A71" s="3" t="s">
        <v>194</v>
      </c>
      <c r="B71" s="2">
        <v>45487</v>
      </c>
      <c r="C71" s="1" t="s">
        <v>192</v>
      </c>
      <c r="D71" s="1" t="s">
        <v>193</v>
      </c>
      <c r="E71" s="1" t="s">
        <v>126</v>
      </c>
      <c r="F71" s="1" t="s">
        <v>127</v>
      </c>
      <c r="G71" s="1" t="s">
        <v>46</v>
      </c>
      <c r="H71" s="1">
        <v>2</v>
      </c>
      <c r="I71" s="1">
        <v>199.99</v>
      </c>
      <c r="J71" s="1" t="s">
        <v>20</v>
      </c>
      <c r="K71" s="1" t="s">
        <v>40</v>
      </c>
      <c r="L71" s="1" t="s">
        <v>22</v>
      </c>
      <c r="M71" s="2">
        <v>44541</v>
      </c>
      <c r="N71" s="13">
        <f>data[[#This Row],[Quantity]]*data[[#This Row],[Unit_Price]]</f>
        <v>399.98</v>
      </c>
      <c r="O71" s="12">
        <f t="shared" ca="1" si="2"/>
        <v>4</v>
      </c>
      <c r="P71" s="10">
        <f t="shared" ca="1" si="3"/>
        <v>46308.73029861111</v>
      </c>
      <c r="Q71" s="11" t="str" cm="1">
        <f t="array" ref="Q71">_xlfn.TEXTJOIN("",TRUE,LEFT(_xlfn.TEXTSPLIT(data[[#This Row],[Customer_Name]]," "),1))</f>
        <v>FT</v>
      </c>
      <c r="R71" s="24">
        <f>EOMONTH(data[[#This Row],[Date]],0)</f>
        <v>45504</v>
      </c>
      <c r="S71" s="11">
        <f>MONTH(data[[#This Row],[Date]])</f>
        <v>7</v>
      </c>
    </row>
    <row r="72" spans="1:19" ht="15" thickBot="1">
      <c r="A72" s="3" t="s">
        <v>195</v>
      </c>
      <c r="B72" s="2">
        <v>45490</v>
      </c>
      <c r="C72" s="1" t="s">
        <v>196</v>
      </c>
      <c r="D72" s="1" t="s">
        <v>197</v>
      </c>
      <c r="E72" s="1" t="s">
        <v>31</v>
      </c>
      <c r="F72" s="1" t="s">
        <v>32</v>
      </c>
      <c r="G72" s="1" t="s">
        <v>33</v>
      </c>
      <c r="H72" s="1">
        <v>3</v>
      </c>
      <c r="I72" s="1">
        <v>59.99</v>
      </c>
      <c r="J72" s="1" t="s">
        <v>26</v>
      </c>
      <c r="K72" s="1" t="s">
        <v>50</v>
      </c>
      <c r="L72" s="1" t="s">
        <v>22</v>
      </c>
      <c r="M72" s="2">
        <v>45130</v>
      </c>
      <c r="N72" s="13">
        <f>data[[#This Row],[Quantity]]*data[[#This Row],[Unit_Price]]</f>
        <v>179.97</v>
      </c>
      <c r="O72" s="12">
        <f t="shared" ca="1" si="2"/>
        <v>3</v>
      </c>
      <c r="P72" s="10">
        <f t="shared" ca="1" si="3"/>
        <v>46308.73029861111</v>
      </c>
      <c r="Q72" s="11" t="str" cm="1">
        <f t="array" ref="Q72">_xlfn.TEXTJOIN("",TRUE,LEFT(_xlfn.TEXTSPLIT(data[[#This Row],[Customer_Name]]," "),1))</f>
        <v>GM</v>
      </c>
      <c r="R72" s="24">
        <f>EOMONTH(data[[#This Row],[Date]],0)</f>
        <v>45504</v>
      </c>
      <c r="S72" s="11">
        <f>MONTH(data[[#This Row],[Date]])</f>
        <v>7</v>
      </c>
    </row>
    <row r="73" spans="1:19" ht="15" thickBot="1">
      <c r="A73" s="3" t="s">
        <v>198</v>
      </c>
      <c r="B73" s="2">
        <v>45490</v>
      </c>
      <c r="C73" s="1" t="s">
        <v>72</v>
      </c>
      <c r="D73" s="1" t="s">
        <v>73</v>
      </c>
      <c r="E73" s="1" t="s">
        <v>44</v>
      </c>
      <c r="F73" s="1" t="s">
        <v>45</v>
      </c>
      <c r="G73" s="1" t="s">
        <v>46</v>
      </c>
      <c r="H73" s="1">
        <v>3</v>
      </c>
      <c r="I73" s="1">
        <v>149.99</v>
      </c>
      <c r="J73" s="1" t="s">
        <v>20</v>
      </c>
      <c r="K73" s="1" t="s">
        <v>21</v>
      </c>
      <c r="L73" s="1" t="s">
        <v>27</v>
      </c>
      <c r="M73" s="2">
        <v>45199</v>
      </c>
      <c r="N73" s="13">
        <f>data[[#This Row],[Quantity]]*data[[#This Row],[Unit_Price]]</f>
        <v>449.97</v>
      </c>
      <c r="O73" s="12">
        <f t="shared" ca="1" si="2"/>
        <v>3</v>
      </c>
      <c r="P73" s="10">
        <f t="shared" ca="1" si="3"/>
        <v>46308.73029861111</v>
      </c>
      <c r="Q73" s="11" t="str" cm="1">
        <f t="array" ref="Q73">_xlfn.TEXTJOIN("",TRUE,LEFT(_xlfn.TEXTSPLIT(data[[#This Row],[Customer_Name]]," "),1))</f>
        <v>PR</v>
      </c>
      <c r="R73" s="24">
        <f>EOMONTH(data[[#This Row],[Date]],0)</f>
        <v>45504</v>
      </c>
      <c r="S73" s="11">
        <f>MONTH(data[[#This Row],[Date]])</f>
        <v>7</v>
      </c>
    </row>
    <row r="74" spans="1:19" ht="15" thickBot="1">
      <c r="A74" s="3" t="s">
        <v>199</v>
      </c>
      <c r="B74" s="2">
        <v>45491</v>
      </c>
      <c r="C74" s="1" t="s">
        <v>65</v>
      </c>
      <c r="D74" s="1" t="s">
        <v>66</v>
      </c>
      <c r="E74" s="1" t="s">
        <v>126</v>
      </c>
      <c r="F74" s="1" t="s">
        <v>127</v>
      </c>
      <c r="G74" s="1" t="s">
        <v>46</v>
      </c>
      <c r="H74" s="1">
        <v>3</v>
      </c>
      <c r="I74" s="1">
        <v>199.99</v>
      </c>
      <c r="J74" s="1" t="s">
        <v>20</v>
      </c>
      <c r="K74" s="1" t="s">
        <v>40</v>
      </c>
      <c r="L74" s="1" t="s">
        <v>27</v>
      </c>
      <c r="M74" s="2">
        <v>45254</v>
      </c>
      <c r="N74" s="13">
        <f>data[[#This Row],[Quantity]]*data[[#This Row],[Unit_Price]]</f>
        <v>599.97</v>
      </c>
      <c r="O74" s="12">
        <f t="shared" ca="1" si="2"/>
        <v>2</v>
      </c>
      <c r="P74" s="10">
        <f t="shared" ca="1" si="3"/>
        <v>46308.73029861111</v>
      </c>
      <c r="Q74" s="11" t="str" cm="1">
        <f t="array" ref="Q74">_xlfn.TEXTJOIN("",TRUE,LEFT(_xlfn.TEXTSPLIT(data[[#This Row],[Customer_Name]]," "),1))</f>
        <v>KH</v>
      </c>
      <c r="R74" s="24">
        <f>EOMONTH(data[[#This Row],[Date]],0)</f>
        <v>45504</v>
      </c>
      <c r="S74" s="11">
        <f>MONTH(data[[#This Row],[Date]])</f>
        <v>7</v>
      </c>
    </row>
    <row r="75" spans="1:19" ht="15" thickBot="1">
      <c r="A75" s="3" t="s">
        <v>200</v>
      </c>
      <c r="B75" s="2">
        <v>45496</v>
      </c>
      <c r="C75" s="1" t="s">
        <v>150</v>
      </c>
      <c r="D75" s="1" t="s">
        <v>151</v>
      </c>
      <c r="E75" s="1" t="s">
        <v>61</v>
      </c>
      <c r="F75" s="1" t="s">
        <v>62</v>
      </c>
      <c r="G75" s="1" t="s">
        <v>19</v>
      </c>
      <c r="H75" s="1">
        <v>1</v>
      </c>
      <c r="I75" s="1">
        <v>899.99</v>
      </c>
      <c r="J75" s="1" t="s">
        <v>20</v>
      </c>
      <c r="K75" s="1" t="s">
        <v>21</v>
      </c>
      <c r="L75" s="1" t="s">
        <v>36</v>
      </c>
      <c r="M75" s="2">
        <v>45179</v>
      </c>
      <c r="N75" s="13">
        <f>data[[#This Row],[Quantity]]*data[[#This Row],[Unit_Price]]</f>
        <v>899.99</v>
      </c>
      <c r="O75" s="12">
        <f t="shared" ca="1" si="2"/>
        <v>3</v>
      </c>
      <c r="P75" s="10">
        <f t="shared" ca="1" si="3"/>
        <v>46308.73029861111</v>
      </c>
      <c r="Q75" s="11" t="str" cm="1">
        <f t="array" ref="Q75">_xlfn.TEXTJOIN("",TRUE,LEFT(_xlfn.TEXTSPLIT(data[[#This Row],[Customer_Name]]," "),1))</f>
        <v>SB</v>
      </c>
      <c r="R75" s="24">
        <f>EOMONTH(data[[#This Row],[Date]],0)</f>
        <v>45504</v>
      </c>
      <c r="S75" s="11">
        <f>MONTH(data[[#This Row],[Date]])</f>
        <v>7</v>
      </c>
    </row>
    <row r="76" spans="1:19" ht="15" thickBot="1">
      <c r="A76" s="3" t="s">
        <v>201</v>
      </c>
      <c r="B76" s="2">
        <v>45497</v>
      </c>
      <c r="C76" s="1" t="s">
        <v>24</v>
      </c>
      <c r="D76" s="1" t="s">
        <v>25</v>
      </c>
      <c r="E76" s="1" t="s">
        <v>61</v>
      </c>
      <c r="F76" s="1" t="s">
        <v>62</v>
      </c>
      <c r="G76" s="1" t="s">
        <v>19</v>
      </c>
      <c r="H76" s="1">
        <v>5</v>
      </c>
      <c r="I76" s="1">
        <v>899.99</v>
      </c>
      <c r="J76" s="1" t="s">
        <v>57</v>
      </c>
      <c r="K76" s="1" t="s">
        <v>35</v>
      </c>
      <c r="L76" s="1" t="s">
        <v>36</v>
      </c>
      <c r="M76" s="2">
        <v>44899</v>
      </c>
      <c r="N76" s="13">
        <f>data[[#This Row],[Quantity]]*data[[#This Row],[Unit_Price]]</f>
        <v>4499.95</v>
      </c>
      <c r="O76" s="12">
        <f t="shared" ca="1" si="2"/>
        <v>3</v>
      </c>
      <c r="P76" s="10">
        <f t="shared" ca="1" si="3"/>
        <v>46308.73029861111</v>
      </c>
      <c r="Q76" s="11" t="str" cm="1">
        <f t="array" ref="Q76">_xlfn.TEXTJOIN("",TRUE,LEFT(_xlfn.TEXTSPLIT(data[[#This Row],[Customer_Name]]," "),1))</f>
        <v>JJ</v>
      </c>
      <c r="R76" s="24">
        <f>EOMONTH(data[[#This Row],[Date]],0)</f>
        <v>45504</v>
      </c>
      <c r="S76" s="11">
        <f>MONTH(data[[#This Row],[Date]])</f>
        <v>7</v>
      </c>
    </row>
    <row r="77" spans="1:19" ht="15" thickBot="1">
      <c r="A77" s="3" t="s">
        <v>202</v>
      </c>
      <c r="B77" s="2">
        <v>45498</v>
      </c>
      <c r="C77" s="1" t="s">
        <v>182</v>
      </c>
      <c r="D77" s="1" t="s">
        <v>183</v>
      </c>
      <c r="E77" s="1" t="s">
        <v>31</v>
      </c>
      <c r="F77" s="1" t="s">
        <v>32</v>
      </c>
      <c r="G77" s="1" t="s">
        <v>33</v>
      </c>
      <c r="H77" s="1">
        <v>2</v>
      </c>
      <c r="I77" s="1">
        <v>59.99</v>
      </c>
      <c r="J77" s="1" t="s">
        <v>20</v>
      </c>
      <c r="K77" s="1" t="s">
        <v>40</v>
      </c>
      <c r="L77" s="1" t="s">
        <v>36</v>
      </c>
      <c r="M77" s="2">
        <v>45152</v>
      </c>
      <c r="N77" s="13">
        <f>data[[#This Row],[Quantity]]*data[[#This Row],[Unit_Price]]</f>
        <v>119.98</v>
      </c>
      <c r="O77" s="12">
        <f t="shared" ca="1" si="2"/>
        <v>3</v>
      </c>
      <c r="P77" s="10">
        <f t="shared" ca="1" si="3"/>
        <v>46308.73029861111</v>
      </c>
      <c r="Q77" s="11" t="str" cm="1">
        <f t="array" ref="Q77">_xlfn.TEXTJOIN("",TRUE,LEFT(_xlfn.TEXTSPLIT(data[[#This Row],[Customer_Name]]," "),1))</f>
        <v>DM</v>
      </c>
      <c r="R77" s="24">
        <f>EOMONTH(data[[#This Row],[Date]],0)</f>
        <v>45504</v>
      </c>
      <c r="S77" s="11">
        <f>MONTH(data[[#This Row],[Date]])</f>
        <v>7</v>
      </c>
    </row>
    <row r="78" spans="1:19" ht="15" thickBot="1">
      <c r="A78" s="3" t="s">
        <v>203</v>
      </c>
      <c r="B78" s="2">
        <v>45498</v>
      </c>
      <c r="C78" s="1" t="s">
        <v>196</v>
      </c>
      <c r="D78" s="1" t="s">
        <v>197</v>
      </c>
      <c r="E78" s="1" t="s">
        <v>17</v>
      </c>
      <c r="F78" s="1" t="s">
        <v>18</v>
      </c>
      <c r="G78" s="1" t="s">
        <v>19</v>
      </c>
      <c r="H78" s="1">
        <v>4</v>
      </c>
      <c r="I78" s="1">
        <v>249.99</v>
      </c>
      <c r="J78" s="1" t="s">
        <v>57</v>
      </c>
      <c r="K78" s="1" t="s">
        <v>21</v>
      </c>
      <c r="L78" s="1" t="s">
        <v>36</v>
      </c>
      <c r="M78" s="2">
        <v>45127</v>
      </c>
      <c r="N78" s="13">
        <f>data[[#This Row],[Quantity]]*data[[#This Row],[Unit_Price]]</f>
        <v>999.96</v>
      </c>
      <c r="O78" s="12">
        <f t="shared" ca="1" si="2"/>
        <v>3</v>
      </c>
      <c r="P78" s="10">
        <f t="shared" ca="1" si="3"/>
        <v>46308.73029861111</v>
      </c>
      <c r="Q78" s="11" t="str" cm="1">
        <f t="array" ref="Q78">_xlfn.TEXTJOIN("",TRUE,LEFT(_xlfn.TEXTSPLIT(data[[#This Row],[Customer_Name]]," "),1))</f>
        <v>GM</v>
      </c>
      <c r="R78" s="24">
        <f>EOMONTH(data[[#This Row],[Date]],0)</f>
        <v>45504</v>
      </c>
      <c r="S78" s="11">
        <f>MONTH(data[[#This Row],[Date]])</f>
        <v>7</v>
      </c>
    </row>
    <row r="79" spans="1:19" ht="15" thickBot="1">
      <c r="A79" s="3" t="s">
        <v>204</v>
      </c>
      <c r="B79" s="2">
        <v>45500</v>
      </c>
      <c r="C79" s="1" t="s">
        <v>96</v>
      </c>
      <c r="D79" s="1" t="s">
        <v>97</v>
      </c>
      <c r="E79" s="1" t="s">
        <v>17</v>
      </c>
      <c r="F79" s="1" t="s">
        <v>18</v>
      </c>
      <c r="G79" s="1" t="s">
        <v>19</v>
      </c>
      <c r="H79" s="1">
        <v>2</v>
      </c>
      <c r="I79" s="1">
        <v>249.99</v>
      </c>
      <c r="J79" s="1" t="s">
        <v>20</v>
      </c>
      <c r="K79" s="1" t="s">
        <v>40</v>
      </c>
      <c r="L79" s="1" t="s">
        <v>27</v>
      </c>
      <c r="M79" s="2">
        <v>45164</v>
      </c>
      <c r="N79" s="13">
        <f>data[[#This Row],[Quantity]]*data[[#This Row],[Unit_Price]]</f>
        <v>499.98</v>
      </c>
      <c r="O79" s="12">
        <f t="shared" ca="1" si="2"/>
        <v>3</v>
      </c>
      <c r="P79" s="10">
        <f t="shared" ca="1" si="3"/>
        <v>46308.73029861111</v>
      </c>
      <c r="Q79" s="11" t="str" cm="1">
        <f t="array" ref="Q79">_xlfn.TEXTJOIN("",TRUE,LEFT(_xlfn.TEXTSPLIT(data[[#This Row],[Customer_Name]]," "),1))</f>
        <v>BY</v>
      </c>
      <c r="R79" s="24">
        <f>EOMONTH(data[[#This Row],[Date]],0)</f>
        <v>45504</v>
      </c>
      <c r="S79" s="11">
        <f>MONTH(data[[#This Row],[Date]])</f>
        <v>7</v>
      </c>
    </row>
    <row r="80" spans="1:19" ht="15" thickBot="1">
      <c r="A80" s="3" t="s">
        <v>205</v>
      </c>
      <c r="B80" s="2">
        <v>45500</v>
      </c>
      <c r="C80" s="1" t="s">
        <v>147</v>
      </c>
      <c r="D80" s="1" t="s">
        <v>148</v>
      </c>
      <c r="E80" s="1" t="s">
        <v>105</v>
      </c>
      <c r="F80" s="1" t="s">
        <v>106</v>
      </c>
      <c r="G80" s="1" t="s">
        <v>46</v>
      </c>
      <c r="H80" s="1">
        <v>1</v>
      </c>
      <c r="I80" s="1">
        <v>299.99</v>
      </c>
      <c r="J80" s="1" t="s">
        <v>20</v>
      </c>
      <c r="K80" s="1" t="s">
        <v>35</v>
      </c>
      <c r="L80" s="1" t="s">
        <v>22</v>
      </c>
      <c r="M80" s="2">
        <v>44982</v>
      </c>
      <c r="N80" s="13">
        <f>data[[#This Row],[Quantity]]*data[[#This Row],[Unit_Price]]</f>
        <v>299.99</v>
      </c>
      <c r="O80" s="12">
        <f t="shared" ca="1" si="2"/>
        <v>3</v>
      </c>
      <c r="P80" s="10">
        <f t="shared" ca="1" si="3"/>
        <v>46308.73029861111</v>
      </c>
      <c r="Q80" s="11" t="str" cm="1">
        <f t="array" ref="Q80">_xlfn.TEXTJOIN("",TRUE,LEFT(_xlfn.TEXTSPLIT(data[[#This Row],[Customer_Name]]," "),1))</f>
        <v>DK</v>
      </c>
      <c r="R80" s="24">
        <f>EOMONTH(data[[#This Row],[Date]],0)</f>
        <v>45504</v>
      </c>
      <c r="S80" s="11">
        <f>MONTH(data[[#This Row],[Date]])</f>
        <v>7</v>
      </c>
    </row>
    <row r="81" spans="1:19" ht="15" thickBot="1">
      <c r="A81" s="3" t="s">
        <v>206</v>
      </c>
      <c r="B81" s="2">
        <v>45501</v>
      </c>
      <c r="C81" s="1" t="s">
        <v>86</v>
      </c>
      <c r="D81" s="1" t="s">
        <v>87</v>
      </c>
      <c r="E81" s="1" t="s">
        <v>117</v>
      </c>
      <c r="F81" s="1" t="s">
        <v>118</v>
      </c>
      <c r="G81" s="1" t="s">
        <v>19</v>
      </c>
      <c r="H81" s="1">
        <v>2</v>
      </c>
      <c r="I81" s="1">
        <v>89.99</v>
      </c>
      <c r="J81" s="1" t="s">
        <v>34</v>
      </c>
      <c r="K81" s="1" t="s">
        <v>35</v>
      </c>
      <c r="L81" s="1" t="s">
        <v>22</v>
      </c>
      <c r="M81" s="2">
        <v>44976</v>
      </c>
      <c r="N81" s="13">
        <f>data[[#This Row],[Quantity]]*data[[#This Row],[Unit_Price]]</f>
        <v>179.98</v>
      </c>
      <c r="O81" s="12">
        <f t="shared" ca="1" si="2"/>
        <v>3</v>
      </c>
      <c r="P81" s="10">
        <f t="shared" ca="1" si="3"/>
        <v>46308.73029861111</v>
      </c>
      <c r="Q81" s="11" t="str" cm="1">
        <f t="array" ref="Q81">_xlfn.TEXTJOIN("",TRUE,LEFT(_xlfn.TEXTSPLIT(data[[#This Row],[Customer_Name]]," "),1))</f>
        <v>MC</v>
      </c>
      <c r="R81" s="24">
        <f>EOMONTH(data[[#This Row],[Date]],0)</f>
        <v>45504</v>
      </c>
      <c r="S81" s="11">
        <f>MONTH(data[[#This Row],[Date]])</f>
        <v>7</v>
      </c>
    </row>
    <row r="82" spans="1:19" ht="15" thickBot="1">
      <c r="A82" s="3" t="s">
        <v>207</v>
      </c>
      <c r="B82" s="2">
        <v>45501</v>
      </c>
      <c r="C82" s="1" t="s">
        <v>147</v>
      </c>
      <c r="D82" s="1" t="s">
        <v>148</v>
      </c>
      <c r="E82" s="1" t="s">
        <v>105</v>
      </c>
      <c r="F82" s="1" t="s">
        <v>106</v>
      </c>
      <c r="G82" s="1" t="s">
        <v>46</v>
      </c>
      <c r="H82" s="1">
        <v>3</v>
      </c>
      <c r="I82" s="1">
        <v>299.99</v>
      </c>
      <c r="J82" s="1" t="s">
        <v>20</v>
      </c>
      <c r="K82" s="1" t="s">
        <v>21</v>
      </c>
      <c r="L82" s="1" t="s">
        <v>22</v>
      </c>
      <c r="M82" s="2">
        <v>44732</v>
      </c>
      <c r="N82" s="13">
        <f>data[[#This Row],[Quantity]]*data[[#This Row],[Unit_Price]]</f>
        <v>899.97</v>
      </c>
      <c r="O82" s="12">
        <f t="shared" ca="1" si="2"/>
        <v>4</v>
      </c>
      <c r="P82" s="10">
        <f t="shared" ca="1" si="3"/>
        <v>46308.73029861111</v>
      </c>
      <c r="Q82" s="11" t="str" cm="1">
        <f t="array" ref="Q82">_xlfn.TEXTJOIN("",TRUE,LEFT(_xlfn.TEXTSPLIT(data[[#This Row],[Customer_Name]]," "),1))</f>
        <v>DK</v>
      </c>
      <c r="R82" s="24">
        <f>EOMONTH(data[[#This Row],[Date]],0)</f>
        <v>45504</v>
      </c>
      <c r="S82" s="11">
        <f>MONTH(data[[#This Row],[Date]])</f>
        <v>7</v>
      </c>
    </row>
    <row r="83" spans="1:19" ht="15" thickBot="1">
      <c r="A83" s="3" t="s">
        <v>208</v>
      </c>
      <c r="B83" s="2">
        <v>45503</v>
      </c>
      <c r="C83" s="1" t="s">
        <v>86</v>
      </c>
      <c r="D83" s="1" t="s">
        <v>87</v>
      </c>
      <c r="E83" s="1" t="s">
        <v>80</v>
      </c>
      <c r="F83" s="1" t="s">
        <v>81</v>
      </c>
      <c r="G83" s="1" t="s">
        <v>19</v>
      </c>
      <c r="H83" s="1">
        <v>2</v>
      </c>
      <c r="I83" s="1">
        <v>699.99</v>
      </c>
      <c r="J83" s="1" t="s">
        <v>26</v>
      </c>
      <c r="K83" s="1" t="s">
        <v>40</v>
      </c>
      <c r="L83" s="1" t="s">
        <v>27</v>
      </c>
      <c r="M83" s="2">
        <v>44999</v>
      </c>
      <c r="N83" s="13">
        <f>data[[#This Row],[Quantity]]*data[[#This Row],[Unit_Price]]</f>
        <v>1399.98</v>
      </c>
      <c r="O83" s="12">
        <f t="shared" ca="1" si="2"/>
        <v>3</v>
      </c>
      <c r="P83" s="10">
        <f t="shared" ca="1" si="3"/>
        <v>46308.73029861111</v>
      </c>
      <c r="Q83" s="11" t="str" cm="1">
        <f t="array" ref="Q83">_xlfn.TEXTJOIN("",TRUE,LEFT(_xlfn.TEXTSPLIT(data[[#This Row],[Customer_Name]]," "),1))</f>
        <v>MC</v>
      </c>
      <c r="R83" s="24">
        <f>EOMONTH(data[[#This Row],[Date]],0)</f>
        <v>45504</v>
      </c>
      <c r="S83" s="11">
        <f>MONTH(data[[#This Row],[Date]])</f>
        <v>7</v>
      </c>
    </row>
    <row r="84" spans="1:19" ht="15" thickBot="1">
      <c r="A84" s="3" t="s">
        <v>209</v>
      </c>
      <c r="B84" s="2">
        <v>45504</v>
      </c>
      <c r="C84" s="1" t="s">
        <v>120</v>
      </c>
      <c r="D84" s="1" t="s">
        <v>121</v>
      </c>
      <c r="E84" s="1" t="s">
        <v>61</v>
      </c>
      <c r="F84" s="1" t="s">
        <v>62</v>
      </c>
      <c r="G84" s="1" t="s">
        <v>19</v>
      </c>
      <c r="H84" s="1">
        <v>4</v>
      </c>
      <c r="I84" s="1">
        <v>899.99</v>
      </c>
      <c r="J84" s="1" t="s">
        <v>57</v>
      </c>
      <c r="K84" s="1" t="s">
        <v>35</v>
      </c>
      <c r="L84" s="1" t="s">
        <v>36</v>
      </c>
      <c r="M84" s="2">
        <v>44523</v>
      </c>
      <c r="N84" s="13">
        <f>data[[#This Row],[Quantity]]*data[[#This Row],[Unit_Price]]</f>
        <v>3599.96</v>
      </c>
      <c r="O84" s="12">
        <f t="shared" ca="1" si="2"/>
        <v>4</v>
      </c>
      <c r="P84" s="10">
        <f t="shared" ca="1" si="3"/>
        <v>46308.73029861111</v>
      </c>
      <c r="Q84" s="11" t="str" cm="1">
        <f t="array" ref="Q84">_xlfn.TEXTJOIN("",TRUE,LEFT(_xlfn.TEXTSPLIT(data[[#This Row],[Customer_Name]]," "),1))</f>
        <v>HR</v>
      </c>
      <c r="R84" s="24">
        <f>EOMONTH(data[[#This Row],[Date]],0)</f>
        <v>45504</v>
      </c>
      <c r="S84" s="11">
        <f>MONTH(data[[#This Row],[Date]])</f>
        <v>7</v>
      </c>
    </row>
    <row r="85" spans="1:19" ht="15" thickBot="1">
      <c r="A85" s="3" t="s">
        <v>210</v>
      </c>
      <c r="B85" s="2">
        <v>45509</v>
      </c>
      <c r="C85" s="1" t="s">
        <v>211</v>
      </c>
      <c r="D85" s="1" t="s">
        <v>212</v>
      </c>
      <c r="E85" s="1" t="s">
        <v>44</v>
      </c>
      <c r="F85" s="1" t="s">
        <v>45</v>
      </c>
      <c r="G85" s="1" t="s">
        <v>46</v>
      </c>
      <c r="H85" s="1">
        <v>2</v>
      </c>
      <c r="I85" s="1">
        <v>149.99</v>
      </c>
      <c r="J85" s="1" t="s">
        <v>26</v>
      </c>
      <c r="K85" s="1" t="s">
        <v>50</v>
      </c>
      <c r="L85" s="1" t="s">
        <v>22</v>
      </c>
      <c r="M85" s="2">
        <v>44542</v>
      </c>
      <c r="N85" s="13">
        <f>data[[#This Row],[Quantity]]*data[[#This Row],[Unit_Price]]</f>
        <v>299.98</v>
      </c>
      <c r="O85" s="12">
        <f t="shared" ca="1" si="2"/>
        <v>4</v>
      </c>
      <c r="P85" s="10">
        <f t="shared" ca="1" si="3"/>
        <v>46308.73029861111</v>
      </c>
      <c r="Q85" s="11" t="str" cm="1">
        <f t="array" ref="Q85">_xlfn.TEXTJOIN("",TRUE,LEFT(_xlfn.TEXTSPLIT(data[[#This Row],[Customer_Name]]," "),1))</f>
        <v>EH</v>
      </c>
      <c r="R85" s="24">
        <f>EOMONTH(data[[#This Row],[Date]],0)</f>
        <v>45535</v>
      </c>
      <c r="S85" s="11">
        <f>MONTH(data[[#This Row],[Date]])</f>
        <v>8</v>
      </c>
    </row>
    <row r="86" spans="1:19" ht="15" thickBot="1">
      <c r="A86" s="3" t="s">
        <v>213</v>
      </c>
      <c r="B86" s="2">
        <v>45510</v>
      </c>
      <c r="C86" s="1" t="s">
        <v>102</v>
      </c>
      <c r="D86" s="1" t="s">
        <v>103</v>
      </c>
      <c r="E86" s="1" t="s">
        <v>44</v>
      </c>
      <c r="F86" s="1" t="s">
        <v>45</v>
      </c>
      <c r="G86" s="1" t="s">
        <v>46</v>
      </c>
      <c r="H86" s="1">
        <v>2</v>
      </c>
      <c r="I86" s="1">
        <v>149.99</v>
      </c>
      <c r="J86" s="1" t="s">
        <v>57</v>
      </c>
      <c r="K86" s="1" t="s">
        <v>63</v>
      </c>
      <c r="L86" s="1" t="s">
        <v>36</v>
      </c>
      <c r="M86" s="2">
        <v>44667</v>
      </c>
      <c r="N86" s="13">
        <f>data[[#This Row],[Quantity]]*data[[#This Row],[Unit_Price]]</f>
        <v>299.98</v>
      </c>
      <c r="O86" s="12">
        <f t="shared" ca="1" si="2"/>
        <v>4</v>
      </c>
      <c r="P86" s="10">
        <f t="shared" ca="1" si="3"/>
        <v>46308.73029861111</v>
      </c>
      <c r="Q86" s="11" t="str" cm="1">
        <f t="array" ref="Q86">_xlfn.TEXTJOIN("",TRUE,LEFT(_xlfn.TEXTSPLIT(data[[#This Row],[Customer_Name]]," "),1))</f>
        <v>CP</v>
      </c>
      <c r="R86" s="24">
        <f>EOMONTH(data[[#This Row],[Date]],0)</f>
        <v>45535</v>
      </c>
      <c r="S86" s="11">
        <f>MONTH(data[[#This Row],[Date]])</f>
        <v>8</v>
      </c>
    </row>
    <row r="87" spans="1:19" ht="15" thickBot="1">
      <c r="A87" s="3" t="s">
        <v>214</v>
      </c>
      <c r="B87" s="2">
        <v>45513</v>
      </c>
      <c r="C87" s="1" t="s">
        <v>89</v>
      </c>
      <c r="D87" s="1" t="s">
        <v>90</v>
      </c>
      <c r="E87" s="1" t="s">
        <v>117</v>
      </c>
      <c r="F87" s="1" t="s">
        <v>118</v>
      </c>
      <c r="G87" s="1" t="s">
        <v>19</v>
      </c>
      <c r="H87" s="1">
        <v>1</v>
      </c>
      <c r="I87" s="1">
        <v>89.99</v>
      </c>
      <c r="J87" s="1" t="s">
        <v>26</v>
      </c>
      <c r="K87" s="1" t="s">
        <v>40</v>
      </c>
      <c r="L87" s="1" t="s">
        <v>36</v>
      </c>
      <c r="M87" s="2">
        <v>45393</v>
      </c>
      <c r="N87" s="13">
        <f>data[[#This Row],[Quantity]]*data[[#This Row],[Unit_Price]]</f>
        <v>89.99</v>
      </c>
      <c r="O87" s="12">
        <f t="shared" ca="1" si="2"/>
        <v>2</v>
      </c>
      <c r="P87" s="10">
        <f t="shared" ca="1" si="3"/>
        <v>46308.73029861111</v>
      </c>
      <c r="Q87" s="11" t="str" cm="1">
        <f t="array" ref="Q87">_xlfn.TEXTJOIN("",TRUE,LEFT(_xlfn.TEXTSPLIT(data[[#This Row],[Customer_Name]]," "),1))</f>
        <v>MG</v>
      </c>
      <c r="R87" s="24">
        <f>EOMONTH(data[[#This Row],[Date]],0)</f>
        <v>45535</v>
      </c>
      <c r="S87" s="11">
        <f>MONTH(data[[#This Row],[Date]])</f>
        <v>8</v>
      </c>
    </row>
    <row r="88" spans="1:19" ht="15" thickBot="1">
      <c r="A88" s="3" t="s">
        <v>215</v>
      </c>
      <c r="B88" s="2">
        <v>45515</v>
      </c>
      <c r="C88" s="1" t="s">
        <v>86</v>
      </c>
      <c r="D88" s="1" t="s">
        <v>87</v>
      </c>
      <c r="E88" s="1" t="s">
        <v>105</v>
      </c>
      <c r="F88" s="1" t="s">
        <v>106</v>
      </c>
      <c r="G88" s="1" t="s">
        <v>46</v>
      </c>
      <c r="H88" s="1">
        <v>5</v>
      </c>
      <c r="I88" s="1">
        <v>299.99</v>
      </c>
      <c r="J88" s="1" t="s">
        <v>26</v>
      </c>
      <c r="K88" s="1" t="s">
        <v>40</v>
      </c>
      <c r="L88" s="1" t="s">
        <v>22</v>
      </c>
      <c r="M88" s="2">
        <v>44965</v>
      </c>
      <c r="N88" s="13">
        <f>data[[#This Row],[Quantity]]*data[[#This Row],[Unit_Price]]</f>
        <v>1499.95</v>
      </c>
      <c r="O88" s="12">
        <f t="shared" ca="1" si="2"/>
        <v>3</v>
      </c>
      <c r="P88" s="10">
        <f t="shared" ca="1" si="3"/>
        <v>46308.73029861111</v>
      </c>
      <c r="Q88" s="11" t="str" cm="1">
        <f t="array" ref="Q88">_xlfn.TEXTJOIN("",TRUE,LEFT(_xlfn.TEXTSPLIT(data[[#This Row],[Customer_Name]]," "),1))</f>
        <v>MC</v>
      </c>
      <c r="R88" s="24">
        <f>EOMONTH(data[[#This Row],[Date]],0)</f>
        <v>45535</v>
      </c>
      <c r="S88" s="11">
        <f>MONTH(data[[#This Row],[Date]])</f>
        <v>8</v>
      </c>
    </row>
    <row r="89" spans="1:19" ht="15" thickBot="1">
      <c r="A89" s="3" t="s">
        <v>216</v>
      </c>
      <c r="B89" s="2">
        <v>45517</v>
      </c>
      <c r="C89" s="1" t="s">
        <v>182</v>
      </c>
      <c r="D89" s="1" t="s">
        <v>183</v>
      </c>
      <c r="E89" s="1" t="s">
        <v>52</v>
      </c>
      <c r="F89" s="1" t="s">
        <v>53</v>
      </c>
      <c r="G89" s="1" t="s">
        <v>19</v>
      </c>
      <c r="H89" s="1">
        <v>4</v>
      </c>
      <c r="I89" s="1">
        <v>149.99</v>
      </c>
      <c r="J89" s="1" t="s">
        <v>57</v>
      </c>
      <c r="K89" s="1" t="s">
        <v>35</v>
      </c>
      <c r="L89" s="1" t="s">
        <v>27</v>
      </c>
      <c r="M89" s="2">
        <v>44820</v>
      </c>
      <c r="N89" s="13">
        <f>data[[#This Row],[Quantity]]*data[[#This Row],[Unit_Price]]</f>
        <v>599.96</v>
      </c>
      <c r="O89" s="12">
        <f t="shared" ca="1" si="2"/>
        <v>4</v>
      </c>
      <c r="P89" s="10">
        <f t="shared" ca="1" si="3"/>
        <v>46308.73029861111</v>
      </c>
      <c r="Q89" s="11" t="str" cm="1">
        <f t="array" ref="Q89">_xlfn.TEXTJOIN("",TRUE,LEFT(_xlfn.TEXTSPLIT(data[[#This Row],[Customer_Name]]," "),1))</f>
        <v>DM</v>
      </c>
      <c r="R89" s="24">
        <f>EOMONTH(data[[#This Row],[Date]],0)</f>
        <v>45535</v>
      </c>
      <c r="S89" s="11">
        <f>MONTH(data[[#This Row],[Date]])</f>
        <v>8</v>
      </c>
    </row>
    <row r="90" spans="1:19" ht="15" thickBot="1">
      <c r="A90" s="3" t="s">
        <v>217</v>
      </c>
      <c r="B90" s="2">
        <v>45517</v>
      </c>
      <c r="C90" s="1" t="s">
        <v>185</v>
      </c>
      <c r="D90" s="1" t="s">
        <v>186</v>
      </c>
      <c r="E90" s="1" t="s">
        <v>17</v>
      </c>
      <c r="F90" s="1" t="s">
        <v>18</v>
      </c>
      <c r="G90" s="1" t="s">
        <v>19</v>
      </c>
      <c r="H90" s="1">
        <v>5</v>
      </c>
      <c r="I90" s="1">
        <v>249.99</v>
      </c>
      <c r="J90" s="1" t="s">
        <v>34</v>
      </c>
      <c r="K90" s="1" t="s">
        <v>63</v>
      </c>
      <c r="L90" s="1" t="s">
        <v>27</v>
      </c>
      <c r="M90" s="2">
        <v>44782</v>
      </c>
      <c r="N90" s="13">
        <f>data[[#This Row],[Quantity]]*data[[#This Row],[Unit_Price]]</f>
        <v>1249.95</v>
      </c>
      <c r="O90" s="12">
        <f t="shared" ca="1" si="2"/>
        <v>4</v>
      </c>
      <c r="P90" s="10">
        <f t="shared" ca="1" si="3"/>
        <v>46308.73029861111</v>
      </c>
      <c r="Q90" s="11" t="str" cm="1">
        <f t="array" ref="Q90">_xlfn.TEXTJOIN("",TRUE,LEFT(_xlfn.TEXTSPLIT(data[[#This Row],[Customer_Name]]," "),1))</f>
        <v>MW</v>
      </c>
      <c r="R90" s="24">
        <f>EOMONTH(data[[#This Row],[Date]],0)</f>
        <v>45535</v>
      </c>
      <c r="S90" s="11">
        <f>MONTH(data[[#This Row],[Date]])</f>
        <v>8</v>
      </c>
    </row>
    <row r="91" spans="1:19" ht="15" thickBot="1">
      <c r="A91" s="3" t="s">
        <v>218</v>
      </c>
      <c r="B91" s="2">
        <v>45517</v>
      </c>
      <c r="C91" s="1" t="s">
        <v>65</v>
      </c>
      <c r="D91" s="1" t="s">
        <v>66</v>
      </c>
      <c r="E91" s="1" t="s">
        <v>17</v>
      </c>
      <c r="F91" s="1" t="s">
        <v>18</v>
      </c>
      <c r="G91" s="1" t="s">
        <v>19</v>
      </c>
      <c r="H91" s="1">
        <v>3</v>
      </c>
      <c r="I91" s="1">
        <v>249.99</v>
      </c>
      <c r="J91" s="1" t="s">
        <v>34</v>
      </c>
      <c r="K91" s="1" t="s">
        <v>40</v>
      </c>
      <c r="L91" s="1" t="s">
        <v>27</v>
      </c>
      <c r="M91" s="2">
        <v>44465</v>
      </c>
      <c r="N91" s="13">
        <f>data[[#This Row],[Quantity]]*data[[#This Row],[Unit_Price]]</f>
        <v>749.97</v>
      </c>
      <c r="O91" s="12">
        <f t="shared" ca="1" si="2"/>
        <v>5</v>
      </c>
      <c r="P91" s="10">
        <f t="shared" ca="1" si="3"/>
        <v>46308.73029861111</v>
      </c>
      <c r="Q91" s="11" t="str" cm="1">
        <f t="array" ref="Q91">_xlfn.TEXTJOIN("",TRUE,LEFT(_xlfn.TEXTSPLIT(data[[#This Row],[Customer_Name]]," "),1))</f>
        <v>KH</v>
      </c>
      <c r="R91" s="24">
        <f>EOMONTH(data[[#This Row],[Date]],0)</f>
        <v>45535</v>
      </c>
      <c r="S91" s="11">
        <f>MONTH(data[[#This Row],[Date]])</f>
        <v>8</v>
      </c>
    </row>
    <row r="92" spans="1:19" ht="15" thickBot="1">
      <c r="A92" s="3" t="s">
        <v>219</v>
      </c>
      <c r="B92" s="2">
        <v>45517</v>
      </c>
      <c r="C92" s="1" t="s">
        <v>38</v>
      </c>
      <c r="D92" s="1" t="s">
        <v>39</v>
      </c>
      <c r="E92" s="1" t="s">
        <v>126</v>
      </c>
      <c r="F92" s="1" t="s">
        <v>127</v>
      </c>
      <c r="G92" s="1" t="s">
        <v>46</v>
      </c>
      <c r="H92" s="1">
        <v>4</v>
      </c>
      <c r="I92" s="1">
        <v>199.99</v>
      </c>
      <c r="J92" s="1" t="s">
        <v>20</v>
      </c>
      <c r="K92" s="1" t="s">
        <v>40</v>
      </c>
      <c r="L92" s="1" t="s">
        <v>36</v>
      </c>
      <c r="M92" s="2">
        <v>44458</v>
      </c>
      <c r="N92" s="13">
        <f>data[[#This Row],[Quantity]]*data[[#This Row],[Unit_Price]]</f>
        <v>799.96</v>
      </c>
      <c r="O92" s="12">
        <f t="shared" ca="1" si="2"/>
        <v>5</v>
      </c>
      <c r="P92" s="10">
        <f t="shared" ca="1" si="3"/>
        <v>46308.73029861111</v>
      </c>
      <c r="Q92" s="11" t="str" cm="1">
        <f t="array" ref="Q92">_xlfn.TEXTJOIN("",TRUE,LEFT(_xlfn.TEXTSPLIT(data[[#This Row],[Customer_Name]]," "),1))</f>
        <v>KB</v>
      </c>
      <c r="R92" s="24">
        <f>EOMONTH(data[[#This Row],[Date]],0)</f>
        <v>45535</v>
      </c>
      <c r="S92" s="11">
        <f>MONTH(data[[#This Row],[Date]])</f>
        <v>8</v>
      </c>
    </row>
    <row r="93" spans="1:19" ht="15" thickBot="1">
      <c r="A93" s="3" t="s">
        <v>220</v>
      </c>
      <c r="B93" s="2">
        <v>45519</v>
      </c>
      <c r="C93" s="1" t="s">
        <v>158</v>
      </c>
      <c r="D93" s="1" t="s">
        <v>159</v>
      </c>
      <c r="E93" s="1" t="s">
        <v>126</v>
      </c>
      <c r="F93" s="1" t="s">
        <v>127</v>
      </c>
      <c r="G93" s="1" t="s">
        <v>46</v>
      </c>
      <c r="H93" s="1">
        <v>5</v>
      </c>
      <c r="I93" s="1">
        <v>199.99</v>
      </c>
      <c r="J93" s="1" t="s">
        <v>20</v>
      </c>
      <c r="K93" s="1" t="s">
        <v>40</v>
      </c>
      <c r="L93" s="1" t="s">
        <v>27</v>
      </c>
      <c r="M93" s="2">
        <v>44991</v>
      </c>
      <c r="N93" s="13">
        <f>data[[#This Row],[Quantity]]*data[[#This Row],[Unit_Price]]</f>
        <v>999.95</v>
      </c>
      <c r="O93" s="12">
        <f t="shared" ca="1" si="2"/>
        <v>3</v>
      </c>
      <c r="P93" s="10">
        <f t="shared" ca="1" si="3"/>
        <v>46308.73029861111</v>
      </c>
      <c r="Q93" s="11" t="str" cm="1">
        <f t="array" ref="Q93">_xlfn.TEXTJOIN("",TRUE,LEFT(_xlfn.TEXTSPLIT(data[[#This Row],[Customer_Name]]," "),1))</f>
        <v>BC</v>
      </c>
      <c r="R93" s="24">
        <f>EOMONTH(data[[#This Row],[Date]],0)</f>
        <v>45535</v>
      </c>
      <c r="S93" s="11">
        <f>MONTH(data[[#This Row],[Date]])</f>
        <v>8</v>
      </c>
    </row>
    <row r="94" spans="1:19" ht="15" thickBot="1">
      <c r="A94" s="3" t="s">
        <v>221</v>
      </c>
      <c r="B94" s="2">
        <v>45522</v>
      </c>
      <c r="C94" s="1" t="s">
        <v>86</v>
      </c>
      <c r="D94" s="1" t="s">
        <v>87</v>
      </c>
      <c r="E94" s="1" t="s">
        <v>117</v>
      </c>
      <c r="F94" s="1" t="s">
        <v>118</v>
      </c>
      <c r="G94" s="1" t="s">
        <v>19</v>
      </c>
      <c r="H94" s="1">
        <v>2</v>
      </c>
      <c r="I94" s="1">
        <v>89.99</v>
      </c>
      <c r="J94" s="1" t="s">
        <v>20</v>
      </c>
      <c r="K94" s="1" t="s">
        <v>63</v>
      </c>
      <c r="L94" s="1" t="s">
        <v>27</v>
      </c>
      <c r="M94" s="2">
        <v>44972</v>
      </c>
      <c r="N94" s="13">
        <f>data[[#This Row],[Quantity]]*data[[#This Row],[Unit_Price]]</f>
        <v>179.98</v>
      </c>
      <c r="O94" s="12">
        <f t="shared" ca="1" si="2"/>
        <v>3</v>
      </c>
      <c r="P94" s="10">
        <f t="shared" ca="1" si="3"/>
        <v>46308.73029861111</v>
      </c>
      <c r="Q94" s="11" t="str" cm="1">
        <f t="array" ref="Q94">_xlfn.TEXTJOIN("",TRUE,LEFT(_xlfn.TEXTSPLIT(data[[#This Row],[Customer_Name]]," "),1))</f>
        <v>MC</v>
      </c>
      <c r="R94" s="24">
        <f>EOMONTH(data[[#This Row],[Date]],0)</f>
        <v>45535</v>
      </c>
      <c r="S94" s="11">
        <f>MONTH(data[[#This Row],[Date]])</f>
        <v>8</v>
      </c>
    </row>
    <row r="95" spans="1:19" ht="15" thickBot="1">
      <c r="A95" s="3" t="s">
        <v>222</v>
      </c>
      <c r="B95" s="2">
        <v>45523</v>
      </c>
      <c r="C95" s="1" t="s">
        <v>196</v>
      </c>
      <c r="D95" s="1" t="s">
        <v>197</v>
      </c>
      <c r="E95" s="1" t="s">
        <v>61</v>
      </c>
      <c r="F95" s="1" t="s">
        <v>62</v>
      </c>
      <c r="G95" s="1" t="s">
        <v>19</v>
      </c>
      <c r="H95" s="1">
        <v>5</v>
      </c>
      <c r="I95" s="1">
        <v>899.99</v>
      </c>
      <c r="J95" s="1" t="s">
        <v>57</v>
      </c>
      <c r="K95" s="1" t="s">
        <v>63</v>
      </c>
      <c r="L95" s="1" t="s">
        <v>22</v>
      </c>
      <c r="M95" s="2">
        <v>44526</v>
      </c>
      <c r="N95" s="13">
        <f>data[[#This Row],[Quantity]]*data[[#This Row],[Unit_Price]]</f>
        <v>4499.95</v>
      </c>
      <c r="O95" s="12">
        <f t="shared" ca="1" si="2"/>
        <v>4</v>
      </c>
      <c r="P95" s="10">
        <f t="shared" ca="1" si="3"/>
        <v>46308.73029861111</v>
      </c>
      <c r="Q95" s="11" t="str" cm="1">
        <f t="array" ref="Q95">_xlfn.TEXTJOIN("",TRUE,LEFT(_xlfn.TEXTSPLIT(data[[#This Row],[Customer_Name]]," "),1))</f>
        <v>GM</v>
      </c>
      <c r="R95" s="24">
        <f>EOMONTH(data[[#This Row],[Date]],0)</f>
        <v>45535</v>
      </c>
      <c r="S95" s="11">
        <f>MONTH(data[[#This Row],[Date]])</f>
        <v>8</v>
      </c>
    </row>
    <row r="96" spans="1:19" ht="15" thickBot="1">
      <c r="A96" s="3" t="s">
        <v>223</v>
      </c>
      <c r="B96" s="2">
        <v>45523</v>
      </c>
      <c r="C96" s="1" t="s">
        <v>108</v>
      </c>
      <c r="D96" s="1" t="s">
        <v>109</v>
      </c>
      <c r="E96" s="1" t="s">
        <v>52</v>
      </c>
      <c r="F96" s="1" t="s">
        <v>53</v>
      </c>
      <c r="G96" s="1" t="s">
        <v>19</v>
      </c>
      <c r="H96" s="1">
        <v>3</v>
      </c>
      <c r="I96" s="1">
        <v>149.99</v>
      </c>
      <c r="J96" s="1" t="s">
        <v>34</v>
      </c>
      <c r="K96" s="1" t="s">
        <v>63</v>
      </c>
      <c r="L96" s="1" t="s">
        <v>22</v>
      </c>
      <c r="M96" s="2">
        <v>44574</v>
      </c>
      <c r="N96" s="13">
        <f>data[[#This Row],[Quantity]]*data[[#This Row],[Unit_Price]]</f>
        <v>449.97</v>
      </c>
      <c r="O96" s="12">
        <f t="shared" ca="1" si="2"/>
        <v>4</v>
      </c>
      <c r="P96" s="10">
        <f t="shared" ca="1" si="3"/>
        <v>46308.73029861111</v>
      </c>
      <c r="Q96" s="11" t="str" cm="1">
        <f t="array" ref="Q96">_xlfn.TEXTJOIN("",TRUE,LEFT(_xlfn.TEXTSPLIT(data[[#This Row],[Customer_Name]]," "),1))</f>
        <v>NC</v>
      </c>
      <c r="R96" s="24">
        <f>EOMONTH(data[[#This Row],[Date]],0)</f>
        <v>45535</v>
      </c>
      <c r="S96" s="11">
        <f>MONTH(data[[#This Row],[Date]])</f>
        <v>8</v>
      </c>
    </row>
    <row r="97" spans="1:19" ht="15" thickBot="1">
      <c r="A97" s="3" t="s">
        <v>224</v>
      </c>
      <c r="B97" s="2">
        <v>45526</v>
      </c>
      <c r="C97" s="1" t="s">
        <v>102</v>
      </c>
      <c r="D97" s="1" t="s">
        <v>103</v>
      </c>
      <c r="E97" s="1" t="s">
        <v>44</v>
      </c>
      <c r="F97" s="1" t="s">
        <v>45</v>
      </c>
      <c r="G97" s="1" t="s">
        <v>46</v>
      </c>
      <c r="H97" s="1">
        <v>5</v>
      </c>
      <c r="I97" s="1">
        <v>149.99</v>
      </c>
      <c r="J97" s="1" t="s">
        <v>26</v>
      </c>
      <c r="K97" s="1" t="s">
        <v>21</v>
      </c>
      <c r="L97" s="1" t="s">
        <v>22</v>
      </c>
      <c r="M97" s="2">
        <v>45310</v>
      </c>
      <c r="N97" s="13">
        <f>data[[#This Row],[Quantity]]*data[[#This Row],[Unit_Price]]</f>
        <v>749.95</v>
      </c>
      <c r="O97" s="12">
        <f t="shared" ca="1" si="2"/>
        <v>2</v>
      </c>
      <c r="P97" s="10">
        <f t="shared" ca="1" si="3"/>
        <v>46308.73029861111</v>
      </c>
      <c r="Q97" s="11" t="str" cm="1">
        <f t="array" ref="Q97">_xlfn.TEXTJOIN("",TRUE,LEFT(_xlfn.TEXTSPLIT(data[[#This Row],[Customer_Name]]," "),1))</f>
        <v>CP</v>
      </c>
      <c r="R97" s="24">
        <f>EOMONTH(data[[#This Row],[Date]],0)</f>
        <v>45535</v>
      </c>
      <c r="S97" s="11">
        <f>MONTH(data[[#This Row],[Date]])</f>
        <v>8</v>
      </c>
    </row>
    <row r="98" spans="1:19" ht="15" thickBot="1">
      <c r="A98" s="3" t="s">
        <v>225</v>
      </c>
      <c r="B98" s="2">
        <v>45528</v>
      </c>
      <c r="C98" s="1" t="s">
        <v>226</v>
      </c>
      <c r="D98" s="1" t="s">
        <v>227</v>
      </c>
      <c r="E98" s="1" t="s">
        <v>114</v>
      </c>
      <c r="F98" s="1" t="s">
        <v>115</v>
      </c>
      <c r="G98" s="1" t="s">
        <v>33</v>
      </c>
      <c r="H98" s="1">
        <v>3</v>
      </c>
      <c r="I98" s="1">
        <v>79.989999999999995</v>
      </c>
      <c r="J98" s="1" t="s">
        <v>20</v>
      </c>
      <c r="K98" s="1" t="s">
        <v>21</v>
      </c>
      <c r="L98" s="1" t="s">
        <v>27</v>
      </c>
      <c r="M98" s="2">
        <v>44779</v>
      </c>
      <c r="N98" s="13">
        <f>data[[#This Row],[Quantity]]*data[[#This Row],[Unit_Price]]</f>
        <v>239.96999999999997</v>
      </c>
      <c r="O98" s="12">
        <f t="shared" ca="1" si="2"/>
        <v>4</v>
      </c>
      <c r="P98" s="10">
        <f t="shared" ca="1" si="3"/>
        <v>46308.73029861111</v>
      </c>
      <c r="Q98" s="11" t="str" cm="1">
        <f t="array" ref="Q98">_xlfn.TEXTJOIN("",TRUE,LEFT(_xlfn.TEXTSPLIT(data[[#This Row],[Customer_Name]]," "),1))</f>
        <v>LR</v>
      </c>
      <c r="R98" s="24">
        <f>EOMONTH(data[[#This Row],[Date]],0)</f>
        <v>45535</v>
      </c>
      <c r="S98" s="11">
        <f>MONTH(data[[#This Row],[Date]])</f>
        <v>8</v>
      </c>
    </row>
    <row r="99" spans="1:19" ht="15" thickBot="1">
      <c r="A99" s="3" t="s">
        <v>228</v>
      </c>
      <c r="B99" s="2">
        <v>45528</v>
      </c>
      <c r="C99" s="1" t="s">
        <v>144</v>
      </c>
      <c r="D99" s="1" t="s">
        <v>145</v>
      </c>
      <c r="E99" s="1" t="s">
        <v>17</v>
      </c>
      <c r="F99" s="1" t="s">
        <v>18</v>
      </c>
      <c r="G99" s="1" t="s">
        <v>19</v>
      </c>
      <c r="H99" s="1">
        <v>2</v>
      </c>
      <c r="I99" s="1">
        <v>249.99</v>
      </c>
      <c r="J99" s="1" t="s">
        <v>20</v>
      </c>
      <c r="K99" s="1" t="s">
        <v>35</v>
      </c>
      <c r="L99" s="1" t="s">
        <v>36</v>
      </c>
      <c r="M99" s="2">
        <v>44572</v>
      </c>
      <c r="N99" s="13">
        <f>data[[#This Row],[Quantity]]*data[[#This Row],[Unit_Price]]</f>
        <v>499.98</v>
      </c>
      <c r="O99" s="12">
        <f t="shared" ca="1" si="2"/>
        <v>4</v>
      </c>
      <c r="P99" s="10">
        <f t="shared" ca="1" si="3"/>
        <v>46308.73029861111</v>
      </c>
      <c r="Q99" s="11" t="str" cm="1">
        <f t="array" ref="Q99">_xlfn.TEXTJOIN("",TRUE,LEFT(_xlfn.TEXTSPLIT(data[[#This Row],[Customer_Name]]," "),1))</f>
        <v>HM</v>
      </c>
      <c r="R99" s="24">
        <f>EOMONTH(data[[#This Row],[Date]],0)</f>
        <v>45535</v>
      </c>
      <c r="S99" s="11">
        <f>MONTH(data[[#This Row],[Date]])</f>
        <v>8</v>
      </c>
    </row>
    <row r="100" spans="1:19" ht="15" thickBot="1">
      <c r="A100" s="3" t="s">
        <v>229</v>
      </c>
      <c r="B100" s="2">
        <v>45532</v>
      </c>
      <c r="C100" s="1" t="s">
        <v>196</v>
      </c>
      <c r="D100" s="1" t="s">
        <v>197</v>
      </c>
      <c r="E100" s="1" t="s">
        <v>80</v>
      </c>
      <c r="F100" s="1" t="s">
        <v>81</v>
      </c>
      <c r="G100" s="1" t="s">
        <v>19</v>
      </c>
      <c r="H100" s="1">
        <v>1</v>
      </c>
      <c r="I100" s="1">
        <v>699.99</v>
      </c>
      <c r="J100" s="1" t="s">
        <v>20</v>
      </c>
      <c r="K100" s="1" t="s">
        <v>21</v>
      </c>
      <c r="L100" s="1" t="s">
        <v>27</v>
      </c>
      <c r="M100" s="2">
        <v>44497</v>
      </c>
      <c r="N100" s="13">
        <f>data[[#This Row],[Quantity]]*data[[#This Row],[Unit_Price]]</f>
        <v>699.99</v>
      </c>
      <c r="O100" s="12">
        <f t="shared" ca="1" si="2"/>
        <v>4</v>
      </c>
      <c r="P100" s="10">
        <f t="shared" ca="1" si="3"/>
        <v>46308.73029861111</v>
      </c>
      <c r="Q100" s="11" t="str" cm="1">
        <f t="array" ref="Q100">_xlfn.TEXTJOIN("",TRUE,LEFT(_xlfn.TEXTSPLIT(data[[#This Row],[Customer_Name]]," "),1))</f>
        <v>GM</v>
      </c>
      <c r="R100" s="24">
        <f>EOMONTH(data[[#This Row],[Date]],0)</f>
        <v>45535</v>
      </c>
      <c r="S100" s="11">
        <f>MONTH(data[[#This Row],[Date]])</f>
        <v>8</v>
      </c>
    </row>
    <row r="101" spans="1:19" ht="15" thickBot="1">
      <c r="A101" s="3" t="s">
        <v>230</v>
      </c>
      <c r="B101" s="2">
        <v>45532</v>
      </c>
      <c r="C101" s="1" t="s">
        <v>231</v>
      </c>
      <c r="D101" s="1" t="s">
        <v>232</v>
      </c>
      <c r="E101" s="1" t="s">
        <v>52</v>
      </c>
      <c r="F101" s="1" t="s">
        <v>53</v>
      </c>
      <c r="G101" s="1" t="s">
        <v>19</v>
      </c>
      <c r="H101" s="1">
        <v>3</v>
      </c>
      <c r="I101" s="1">
        <v>149.99</v>
      </c>
      <c r="J101" s="1" t="s">
        <v>20</v>
      </c>
      <c r="K101" s="1" t="s">
        <v>50</v>
      </c>
      <c r="L101" s="1" t="s">
        <v>27</v>
      </c>
      <c r="M101" s="2">
        <v>45212</v>
      </c>
      <c r="N101" s="13">
        <f>data[[#This Row],[Quantity]]*data[[#This Row],[Unit_Price]]</f>
        <v>449.97</v>
      </c>
      <c r="O101" s="12">
        <f t="shared" ca="1" si="2"/>
        <v>3</v>
      </c>
      <c r="P101" s="10">
        <f t="shared" ca="1" si="3"/>
        <v>46308.73029861111</v>
      </c>
      <c r="Q101" s="11" t="str" cm="1">
        <f t="array" ref="Q101">_xlfn.TEXTJOIN("",TRUE,LEFT(_xlfn.TEXTSPLIT(data[[#This Row],[Customer_Name]]," "),1))</f>
        <v>CE</v>
      </c>
      <c r="R101" s="24">
        <f>EOMONTH(data[[#This Row],[Date]],0)</f>
        <v>45535</v>
      </c>
      <c r="S101" s="11">
        <f>MONTH(data[[#This Row],[Date]])</f>
        <v>8</v>
      </c>
    </row>
    <row r="102" spans="1:19" ht="15" thickBot="1">
      <c r="A102" s="3" t="s">
        <v>233</v>
      </c>
      <c r="B102" s="2">
        <v>45534</v>
      </c>
      <c r="C102" s="1" t="s">
        <v>234</v>
      </c>
      <c r="D102" s="1" t="s">
        <v>235</v>
      </c>
      <c r="E102" s="1" t="s">
        <v>80</v>
      </c>
      <c r="F102" s="1" t="s">
        <v>81</v>
      </c>
      <c r="G102" s="1" t="s">
        <v>19</v>
      </c>
      <c r="H102" s="1">
        <v>2</v>
      </c>
      <c r="I102" s="1">
        <v>699.99</v>
      </c>
      <c r="J102" s="1" t="s">
        <v>26</v>
      </c>
      <c r="K102" s="1" t="s">
        <v>40</v>
      </c>
      <c r="L102" s="1" t="s">
        <v>27</v>
      </c>
      <c r="M102" s="2">
        <v>44421</v>
      </c>
      <c r="N102" s="13">
        <f>data[[#This Row],[Quantity]]*data[[#This Row],[Unit_Price]]</f>
        <v>1399.98</v>
      </c>
      <c r="O102" s="12">
        <f t="shared" ca="1" si="2"/>
        <v>5</v>
      </c>
      <c r="P102" s="10">
        <f t="shared" ca="1" si="3"/>
        <v>46308.73029861111</v>
      </c>
      <c r="Q102" s="11" t="str" cm="1">
        <f t="array" ref="Q102">_xlfn.TEXTJOIN("",TRUE,LEFT(_xlfn.TEXTSPLIT(data[[#This Row],[Customer_Name]]," "),1))</f>
        <v>SP</v>
      </c>
      <c r="R102" s="24">
        <f>EOMONTH(data[[#This Row],[Date]],0)</f>
        <v>45535</v>
      </c>
      <c r="S102" s="11">
        <f>MONTH(data[[#This Row],[Date]])</f>
        <v>8</v>
      </c>
    </row>
    <row r="103" spans="1:19" ht="15" thickBot="1">
      <c r="A103" s="3" t="s">
        <v>236</v>
      </c>
      <c r="B103" s="2">
        <v>45537</v>
      </c>
      <c r="C103" s="1" t="s">
        <v>231</v>
      </c>
      <c r="D103" s="1" t="s">
        <v>232</v>
      </c>
      <c r="E103" s="1" t="s">
        <v>17</v>
      </c>
      <c r="F103" s="1" t="s">
        <v>18</v>
      </c>
      <c r="G103" s="1" t="s">
        <v>19</v>
      </c>
      <c r="H103" s="1">
        <v>1</v>
      </c>
      <c r="I103" s="1">
        <v>249.99</v>
      </c>
      <c r="J103" s="1" t="s">
        <v>26</v>
      </c>
      <c r="K103" s="1" t="s">
        <v>50</v>
      </c>
      <c r="L103" s="1" t="s">
        <v>27</v>
      </c>
      <c r="M103" s="2">
        <v>44685</v>
      </c>
      <c r="N103" s="13">
        <f>data[[#This Row],[Quantity]]*data[[#This Row],[Unit_Price]]</f>
        <v>249.99</v>
      </c>
      <c r="O103" s="12">
        <f t="shared" ca="1" si="2"/>
        <v>4</v>
      </c>
      <c r="P103" s="10">
        <f t="shared" ca="1" si="3"/>
        <v>46308.73029861111</v>
      </c>
      <c r="Q103" s="11" t="str" cm="1">
        <f t="array" ref="Q103">_xlfn.TEXTJOIN("",TRUE,LEFT(_xlfn.TEXTSPLIT(data[[#This Row],[Customer_Name]]," "),1))</f>
        <v>CE</v>
      </c>
      <c r="R103" s="24">
        <f>EOMONTH(data[[#This Row],[Date]],0)</f>
        <v>45565</v>
      </c>
      <c r="S103" s="11">
        <f>MONTH(data[[#This Row],[Date]])</f>
        <v>9</v>
      </c>
    </row>
    <row r="104" spans="1:19" ht="15" thickBot="1">
      <c r="A104" s="3" t="s">
        <v>237</v>
      </c>
      <c r="B104" s="2">
        <v>45537</v>
      </c>
      <c r="C104" s="1" t="s">
        <v>15</v>
      </c>
      <c r="D104" s="1" t="s">
        <v>16</v>
      </c>
      <c r="E104" s="1" t="s">
        <v>17</v>
      </c>
      <c r="F104" s="1" t="s">
        <v>18</v>
      </c>
      <c r="G104" s="1" t="s">
        <v>19</v>
      </c>
      <c r="H104" s="1">
        <v>1</v>
      </c>
      <c r="I104" s="1">
        <v>249.99</v>
      </c>
      <c r="J104" s="1" t="s">
        <v>57</v>
      </c>
      <c r="K104" s="1" t="s">
        <v>40</v>
      </c>
      <c r="L104" s="1" t="s">
        <v>27</v>
      </c>
      <c r="M104" s="2">
        <v>45332</v>
      </c>
      <c r="N104" s="13">
        <f>data[[#This Row],[Quantity]]*data[[#This Row],[Unit_Price]]</f>
        <v>249.99</v>
      </c>
      <c r="O104" s="12">
        <f t="shared" ca="1" si="2"/>
        <v>2</v>
      </c>
      <c r="P104" s="10">
        <f t="shared" ca="1" si="3"/>
        <v>46308.73029861111</v>
      </c>
      <c r="Q104" s="11" t="str" cm="1">
        <f t="array" ref="Q104">_xlfn.TEXTJOIN("",TRUE,LEFT(_xlfn.TEXTSPLIT(data[[#This Row],[Customer_Name]]," "),1))</f>
        <v>PB</v>
      </c>
      <c r="R104" s="24">
        <f>EOMONTH(data[[#This Row],[Date]],0)</f>
        <v>45565</v>
      </c>
      <c r="S104" s="11">
        <f>MONTH(data[[#This Row],[Date]])</f>
        <v>9</v>
      </c>
    </row>
    <row r="105" spans="1:19" ht="15" thickBot="1">
      <c r="A105" s="3" t="s">
        <v>238</v>
      </c>
      <c r="B105" s="2">
        <v>45538</v>
      </c>
      <c r="C105" s="1" t="s">
        <v>226</v>
      </c>
      <c r="D105" s="1" t="s">
        <v>227</v>
      </c>
      <c r="E105" s="1" t="s">
        <v>80</v>
      </c>
      <c r="F105" s="1" t="s">
        <v>81</v>
      </c>
      <c r="G105" s="1" t="s">
        <v>19</v>
      </c>
      <c r="H105" s="1">
        <v>2</v>
      </c>
      <c r="I105" s="1">
        <v>699.99</v>
      </c>
      <c r="J105" s="1" t="s">
        <v>57</v>
      </c>
      <c r="K105" s="1" t="s">
        <v>21</v>
      </c>
      <c r="L105" s="1" t="s">
        <v>27</v>
      </c>
      <c r="M105" s="2">
        <v>44870</v>
      </c>
      <c r="N105" s="13">
        <f>data[[#This Row],[Quantity]]*data[[#This Row],[Unit_Price]]</f>
        <v>1399.98</v>
      </c>
      <c r="O105" s="12">
        <f t="shared" ca="1" si="2"/>
        <v>3</v>
      </c>
      <c r="P105" s="10">
        <f t="shared" ca="1" si="3"/>
        <v>46308.73029861111</v>
      </c>
      <c r="Q105" s="11" t="str" cm="1">
        <f t="array" ref="Q105">_xlfn.TEXTJOIN("",TRUE,LEFT(_xlfn.TEXTSPLIT(data[[#This Row],[Customer_Name]]," "),1))</f>
        <v>LR</v>
      </c>
      <c r="R105" s="24">
        <f>EOMONTH(data[[#This Row],[Date]],0)</f>
        <v>45565</v>
      </c>
      <c r="S105" s="11">
        <f>MONTH(data[[#This Row],[Date]])</f>
        <v>9</v>
      </c>
    </row>
    <row r="106" spans="1:19" ht="15" thickBot="1">
      <c r="A106" s="3" t="s">
        <v>239</v>
      </c>
      <c r="B106" s="2">
        <v>45541</v>
      </c>
      <c r="C106" s="1" t="s">
        <v>138</v>
      </c>
      <c r="D106" s="1" t="s">
        <v>139</v>
      </c>
      <c r="E106" s="1" t="s">
        <v>31</v>
      </c>
      <c r="F106" s="1" t="s">
        <v>32</v>
      </c>
      <c r="G106" s="1" t="s">
        <v>33</v>
      </c>
      <c r="H106" s="1">
        <v>3</v>
      </c>
      <c r="I106" s="1">
        <v>59.99</v>
      </c>
      <c r="J106" s="1" t="s">
        <v>26</v>
      </c>
      <c r="K106" s="1" t="s">
        <v>21</v>
      </c>
      <c r="L106" s="1" t="s">
        <v>27</v>
      </c>
      <c r="M106" s="2">
        <v>44717</v>
      </c>
      <c r="N106" s="13">
        <f>data[[#This Row],[Quantity]]*data[[#This Row],[Unit_Price]]</f>
        <v>179.97</v>
      </c>
      <c r="O106" s="12">
        <f t="shared" ca="1" si="2"/>
        <v>4</v>
      </c>
      <c r="P106" s="10">
        <f t="shared" ca="1" si="3"/>
        <v>46308.73029861111</v>
      </c>
      <c r="Q106" s="11" t="str" cm="1">
        <f t="array" ref="Q106">_xlfn.TEXTJOIN("",TRUE,LEFT(_xlfn.TEXTSPLIT(data[[#This Row],[Customer_Name]]," "),1))</f>
        <v>ST</v>
      </c>
      <c r="R106" s="24">
        <f>EOMONTH(data[[#This Row],[Date]],0)</f>
        <v>45565</v>
      </c>
      <c r="S106" s="11">
        <f>MONTH(data[[#This Row],[Date]])</f>
        <v>9</v>
      </c>
    </row>
    <row r="107" spans="1:19" ht="15" thickBot="1">
      <c r="A107" s="3" t="s">
        <v>240</v>
      </c>
      <c r="B107" s="2">
        <v>45544</v>
      </c>
      <c r="C107" s="1" t="s">
        <v>132</v>
      </c>
      <c r="D107" s="1" t="s">
        <v>133</v>
      </c>
      <c r="E107" s="1" t="s">
        <v>31</v>
      </c>
      <c r="F107" s="1" t="s">
        <v>32</v>
      </c>
      <c r="G107" s="1" t="s">
        <v>33</v>
      </c>
      <c r="H107" s="1">
        <v>3</v>
      </c>
      <c r="I107" s="1">
        <v>59.99</v>
      </c>
      <c r="J107" s="1" t="s">
        <v>34</v>
      </c>
      <c r="K107" s="1" t="s">
        <v>63</v>
      </c>
      <c r="L107" s="1" t="s">
        <v>36</v>
      </c>
      <c r="M107" s="2">
        <v>44748</v>
      </c>
      <c r="N107" s="13">
        <f>data[[#This Row],[Quantity]]*data[[#This Row],[Unit_Price]]</f>
        <v>179.97</v>
      </c>
      <c r="O107" s="12">
        <f t="shared" ca="1" si="2"/>
        <v>4</v>
      </c>
      <c r="P107" s="10">
        <f t="shared" ca="1" si="3"/>
        <v>46308.73029861111</v>
      </c>
      <c r="Q107" s="11" t="str" cm="1">
        <f t="array" ref="Q107">_xlfn.TEXTJOIN("",TRUE,LEFT(_xlfn.TEXTSPLIT(data[[#This Row],[Customer_Name]]," "),1))</f>
        <v>EW</v>
      </c>
      <c r="R107" s="24">
        <f>EOMONTH(data[[#This Row],[Date]],0)</f>
        <v>45565</v>
      </c>
      <c r="S107" s="11">
        <f>MONTH(data[[#This Row],[Date]])</f>
        <v>9</v>
      </c>
    </row>
    <row r="108" spans="1:19" ht="15" thickBot="1">
      <c r="A108" s="3" t="s">
        <v>241</v>
      </c>
      <c r="B108" s="2">
        <v>45544</v>
      </c>
      <c r="C108" s="1" t="s">
        <v>141</v>
      </c>
      <c r="D108" s="1" t="s">
        <v>142</v>
      </c>
      <c r="E108" s="1" t="s">
        <v>114</v>
      </c>
      <c r="F108" s="1" t="s">
        <v>115</v>
      </c>
      <c r="G108" s="1" t="s">
        <v>33</v>
      </c>
      <c r="H108" s="1">
        <v>4</v>
      </c>
      <c r="I108" s="1">
        <v>79.989999999999995</v>
      </c>
      <c r="J108" s="1" t="s">
        <v>20</v>
      </c>
      <c r="K108" s="1" t="s">
        <v>40</v>
      </c>
      <c r="L108" s="1" t="s">
        <v>22</v>
      </c>
      <c r="M108" s="2">
        <v>44530</v>
      </c>
      <c r="N108" s="13">
        <f>data[[#This Row],[Quantity]]*data[[#This Row],[Unit_Price]]</f>
        <v>319.95999999999998</v>
      </c>
      <c r="O108" s="12">
        <f t="shared" ca="1" si="2"/>
        <v>4</v>
      </c>
      <c r="P108" s="10">
        <f t="shared" ca="1" si="3"/>
        <v>46308.73029861111</v>
      </c>
      <c r="Q108" s="11" t="str" cm="1">
        <f t="array" ref="Q108">_xlfn.TEXTJOIN("",TRUE,LEFT(_xlfn.TEXTSPLIT(data[[#This Row],[Customer_Name]]," "),1))</f>
        <v>JT</v>
      </c>
      <c r="R108" s="24">
        <f>EOMONTH(data[[#This Row],[Date]],0)</f>
        <v>45565</v>
      </c>
      <c r="S108" s="11">
        <f>MONTH(data[[#This Row],[Date]])</f>
        <v>9</v>
      </c>
    </row>
    <row r="109" spans="1:19" ht="15" thickBot="1">
      <c r="A109" s="3" t="s">
        <v>242</v>
      </c>
      <c r="B109" s="2">
        <v>45545</v>
      </c>
      <c r="C109" s="1" t="s">
        <v>55</v>
      </c>
      <c r="D109" s="1" t="s">
        <v>56</v>
      </c>
      <c r="E109" s="1" t="s">
        <v>114</v>
      </c>
      <c r="F109" s="1" t="s">
        <v>115</v>
      </c>
      <c r="G109" s="1" t="s">
        <v>33</v>
      </c>
      <c r="H109" s="1">
        <v>1</v>
      </c>
      <c r="I109" s="1">
        <v>79.989999999999995</v>
      </c>
      <c r="J109" s="1" t="s">
        <v>20</v>
      </c>
      <c r="K109" s="1" t="s">
        <v>50</v>
      </c>
      <c r="L109" s="1" t="s">
        <v>22</v>
      </c>
      <c r="M109" s="2">
        <v>44693</v>
      </c>
      <c r="N109" s="13">
        <f>data[[#This Row],[Quantity]]*data[[#This Row],[Unit_Price]]</f>
        <v>79.989999999999995</v>
      </c>
      <c r="O109" s="12">
        <f t="shared" ca="1" si="2"/>
        <v>4</v>
      </c>
      <c r="P109" s="10">
        <f t="shared" ca="1" si="3"/>
        <v>46308.73029861111</v>
      </c>
      <c r="Q109" s="11" t="str" cm="1">
        <f t="array" ref="Q109">_xlfn.TEXTJOIN("",TRUE,LEFT(_xlfn.TEXTSPLIT(data[[#This Row],[Customer_Name]]," "),1))</f>
        <v>CA</v>
      </c>
      <c r="R109" s="24">
        <f>EOMONTH(data[[#This Row],[Date]],0)</f>
        <v>45565</v>
      </c>
      <c r="S109" s="11">
        <f>MONTH(data[[#This Row],[Date]])</f>
        <v>9</v>
      </c>
    </row>
    <row r="110" spans="1:19" ht="15" thickBot="1">
      <c r="A110" s="3" t="s">
        <v>243</v>
      </c>
      <c r="B110" s="2">
        <v>45547</v>
      </c>
      <c r="C110" s="1" t="s">
        <v>48</v>
      </c>
      <c r="D110" s="1" t="s">
        <v>49</v>
      </c>
      <c r="E110" s="1" t="s">
        <v>105</v>
      </c>
      <c r="F110" s="1" t="s">
        <v>106</v>
      </c>
      <c r="G110" s="1" t="s">
        <v>46</v>
      </c>
      <c r="H110" s="1">
        <v>3</v>
      </c>
      <c r="I110" s="1">
        <v>299.99</v>
      </c>
      <c r="J110" s="1" t="s">
        <v>26</v>
      </c>
      <c r="K110" s="1" t="s">
        <v>21</v>
      </c>
      <c r="L110" s="1" t="s">
        <v>27</v>
      </c>
      <c r="M110" s="2">
        <v>44494</v>
      </c>
      <c r="N110" s="13">
        <f>data[[#This Row],[Quantity]]*data[[#This Row],[Unit_Price]]</f>
        <v>899.97</v>
      </c>
      <c r="O110" s="12">
        <f t="shared" ca="1" si="2"/>
        <v>4</v>
      </c>
      <c r="P110" s="10">
        <f t="shared" ca="1" si="3"/>
        <v>46308.73029861111</v>
      </c>
      <c r="Q110" s="11" t="str" cm="1">
        <f t="array" ref="Q110">_xlfn.TEXTJOIN("",TRUE,LEFT(_xlfn.TEXTSPLIT(data[[#This Row],[Customer_Name]]," "),1))</f>
        <v>DN</v>
      </c>
      <c r="R110" s="24">
        <f>EOMONTH(data[[#This Row],[Date]],0)</f>
        <v>45565</v>
      </c>
      <c r="S110" s="11">
        <f>MONTH(data[[#This Row],[Date]])</f>
        <v>9</v>
      </c>
    </row>
    <row r="111" spans="1:19" ht="15" thickBot="1">
      <c r="A111" s="3" t="s">
        <v>244</v>
      </c>
      <c r="B111" s="2">
        <v>45548</v>
      </c>
      <c r="C111" s="1" t="s">
        <v>38</v>
      </c>
      <c r="D111" s="1" t="s">
        <v>39</v>
      </c>
      <c r="E111" s="1" t="s">
        <v>117</v>
      </c>
      <c r="F111" s="1" t="s">
        <v>118</v>
      </c>
      <c r="G111" s="1" t="s">
        <v>19</v>
      </c>
      <c r="H111" s="1">
        <v>2</v>
      </c>
      <c r="I111" s="1">
        <v>89.99</v>
      </c>
      <c r="J111" s="1" t="s">
        <v>26</v>
      </c>
      <c r="K111" s="1" t="s">
        <v>35</v>
      </c>
      <c r="L111" s="1" t="s">
        <v>27</v>
      </c>
      <c r="M111" s="2">
        <v>44641</v>
      </c>
      <c r="N111" s="13">
        <f>data[[#This Row],[Quantity]]*data[[#This Row],[Unit_Price]]</f>
        <v>179.98</v>
      </c>
      <c r="O111" s="12">
        <f t="shared" ca="1" si="2"/>
        <v>4</v>
      </c>
      <c r="P111" s="10">
        <f t="shared" ca="1" si="3"/>
        <v>46308.73029861111</v>
      </c>
      <c r="Q111" s="11" t="str" cm="1">
        <f t="array" ref="Q111">_xlfn.TEXTJOIN("",TRUE,LEFT(_xlfn.TEXTSPLIT(data[[#This Row],[Customer_Name]]," "),1))</f>
        <v>KB</v>
      </c>
      <c r="R111" s="24">
        <f>EOMONTH(data[[#This Row],[Date]],0)</f>
        <v>45565</v>
      </c>
      <c r="S111" s="11">
        <f>MONTH(data[[#This Row],[Date]])</f>
        <v>9</v>
      </c>
    </row>
    <row r="112" spans="1:19" ht="15" thickBot="1">
      <c r="A112" s="3" t="s">
        <v>245</v>
      </c>
      <c r="B112" s="2">
        <v>45550</v>
      </c>
      <c r="C112" s="1" t="s">
        <v>246</v>
      </c>
      <c r="D112" s="1" t="s">
        <v>247</v>
      </c>
      <c r="E112" s="1" t="s">
        <v>52</v>
      </c>
      <c r="F112" s="1" t="s">
        <v>53</v>
      </c>
      <c r="G112" s="1" t="s">
        <v>19</v>
      </c>
      <c r="H112" s="1">
        <v>4</v>
      </c>
      <c r="I112" s="1">
        <v>149.99</v>
      </c>
      <c r="J112" s="1" t="s">
        <v>20</v>
      </c>
      <c r="K112" s="1" t="s">
        <v>40</v>
      </c>
      <c r="L112" s="1" t="s">
        <v>22</v>
      </c>
      <c r="M112" s="2">
        <v>44909</v>
      </c>
      <c r="N112" s="13">
        <f>data[[#This Row],[Quantity]]*data[[#This Row],[Unit_Price]]</f>
        <v>599.96</v>
      </c>
      <c r="O112" s="12">
        <f t="shared" ca="1" si="2"/>
        <v>3</v>
      </c>
      <c r="P112" s="10">
        <f t="shared" ca="1" si="3"/>
        <v>46308.73029861111</v>
      </c>
      <c r="Q112" s="11" t="str" cm="1">
        <f t="array" ref="Q112">_xlfn.TEXTJOIN("",TRUE,LEFT(_xlfn.TEXTSPLIT(data[[#This Row],[Customer_Name]]," "),1))</f>
        <v>RB</v>
      </c>
      <c r="R112" s="24">
        <f>EOMONTH(data[[#This Row],[Date]],0)</f>
        <v>45565</v>
      </c>
      <c r="S112" s="11">
        <f>MONTH(data[[#This Row],[Date]])</f>
        <v>9</v>
      </c>
    </row>
    <row r="113" spans="1:19" ht="15" thickBot="1">
      <c r="A113" s="3" t="s">
        <v>248</v>
      </c>
      <c r="B113" s="2">
        <v>45551</v>
      </c>
      <c r="C113" s="1" t="s">
        <v>65</v>
      </c>
      <c r="D113" s="1" t="s">
        <v>66</v>
      </c>
      <c r="E113" s="1" t="s">
        <v>17</v>
      </c>
      <c r="F113" s="1" t="s">
        <v>18</v>
      </c>
      <c r="G113" s="1" t="s">
        <v>19</v>
      </c>
      <c r="H113" s="1">
        <v>2</v>
      </c>
      <c r="I113" s="1">
        <v>249.99</v>
      </c>
      <c r="J113" s="1" t="s">
        <v>34</v>
      </c>
      <c r="K113" s="1" t="s">
        <v>35</v>
      </c>
      <c r="L113" s="1" t="s">
        <v>22</v>
      </c>
      <c r="M113" s="2">
        <v>44993</v>
      </c>
      <c r="N113" s="13">
        <f>data[[#This Row],[Quantity]]*data[[#This Row],[Unit_Price]]</f>
        <v>499.98</v>
      </c>
      <c r="O113" s="12">
        <f t="shared" ca="1" si="2"/>
        <v>3</v>
      </c>
      <c r="P113" s="10">
        <f t="shared" ca="1" si="3"/>
        <v>46308.73029861111</v>
      </c>
      <c r="Q113" s="11" t="str" cm="1">
        <f t="array" ref="Q113">_xlfn.TEXTJOIN("",TRUE,LEFT(_xlfn.TEXTSPLIT(data[[#This Row],[Customer_Name]]," "),1))</f>
        <v>KH</v>
      </c>
      <c r="R113" s="24">
        <f>EOMONTH(data[[#This Row],[Date]],0)</f>
        <v>45565</v>
      </c>
      <c r="S113" s="11">
        <f>MONTH(data[[#This Row],[Date]])</f>
        <v>9</v>
      </c>
    </row>
    <row r="114" spans="1:19" ht="15" thickBot="1">
      <c r="A114" s="3" t="s">
        <v>249</v>
      </c>
      <c r="B114" s="2">
        <v>45551</v>
      </c>
      <c r="C114" s="1" t="s">
        <v>154</v>
      </c>
      <c r="D114" s="1" t="s">
        <v>155</v>
      </c>
      <c r="E114" s="1" t="s">
        <v>126</v>
      </c>
      <c r="F114" s="1" t="s">
        <v>127</v>
      </c>
      <c r="G114" s="1" t="s">
        <v>46</v>
      </c>
      <c r="H114" s="1">
        <v>4</v>
      </c>
      <c r="I114" s="1">
        <v>199.99</v>
      </c>
      <c r="J114" s="1" t="s">
        <v>57</v>
      </c>
      <c r="K114" s="1" t="s">
        <v>63</v>
      </c>
      <c r="L114" s="1" t="s">
        <v>22</v>
      </c>
      <c r="M114" s="2">
        <v>44458</v>
      </c>
      <c r="N114" s="13">
        <f>data[[#This Row],[Quantity]]*data[[#This Row],[Unit_Price]]</f>
        <v>799.96</v>
      </c>
      <c r="O114" s="12">
        <f t="shared" ca="1" si="2"/>
        <v>5</v>
      </c>
      <c r="P114" s="10">
        <f t="shared" ca="1" si="3"/>
        <v>46308.73029861111</v>
      </c>
      <c r="Q114" s="11" t="str" cm="1">
        <f t="array" ref="Q114">_xlfn.TEXTJOIN("",TRUE,LEFT(_xlfn.TEXTSPLIT(data[[#This Row],[Customer_Name]]," "),1))</f>
        <v>SD</v>
      </c>
      <c r="R114" s="24">
        <f>EOMONTH(data[[#This Row],[Date]],0)</f>
        <v>45565</v>
      </c>
      <c r="S114" s="11">
        <f>MONTH(data[[#This Row],[Date]])</f>
        <v>9</v>
      </c>
    </row>
    <row r="115" spans="1:19" ht="15" thickBot="1">
      <c r="A115" s="3" t="s">
        <v>250</v>
      </c>
      <c r="B115" s="2">
        <v>45554</v>
      </c>
      <c r="C115" s="1" t="s">
        <v>147</v>
      </c>
      <c r="D115" s="1" t="s">
        <v>148</v>
      </c>
      <c r="E115" s="1" t="s">
        <v>117</v>
      </c>
      <c r="F115" s="1" t="s">
        <v>118</v>
      </c>
      <c r="G115" s="1" t="s">
        <v>19</v>
      </c>
      <c r="H115" s="1">
        <v>5</v>
      </c>
      <c r="I115" s="1">
        <v>89.99</v>
      </c>
      <c r="J115" s="1" t="s">
        <v>26</v>
      </c>
      <c r="K115" s="1" t="s">
        <v>63</v>
      </c>
      <c r="L115" s="1" t="s">
        <v>27</v>
      </c>
      <c r="M115" s="2">
        <v>44446</v>
      </c>
      <c r="N115" s="13">
        <f>data[[#This Row],[Quantity]]*data[[#This Row],[Unit_Price]]</f>
        <v>449.95</v>
      </c>
      <c r="O115" s="12">
        <f t="shared" ca="1" si="2"/>
        <v>5</v>
      </c>
      <c r="P115" s="10">
        <f t="shared" ca="1" si="3"/>
        <v>46308.73029861111</v>
      </c>
      <c r="Q115" s="11" t="str" cm="1">
        <f t="array" ref="Q115">_xlfn.TEXTJOIN("",TRUE,LEFT(_xlfn.TEXTSPLIT(data[[#This Row],[Customer_Name]]," "),1))</f>
        <v>DK</v>
      </c>
      <c r="R115" s="24">
        <f>EOMONTH(data[[#This Row],[Date]],0)</f>
        <v>45565</v>
      </c>
      <c r="S115" s="11">
        <f>MONTH(data[[#This Row],[Date]])</f>
        <v>9</v>
      </c>
    </row>
    <row r="116" spans="1:19" ht="15" thickBot="1">
      <c r="A116" s="3" t="s">
        <v>251</v>
      </c>
      <c r="B116" s="2">
        <v>45554</v>
      </c>
      <c r="C116" s="1" t="s">
        <v>252</v>
      </c>
      <c r="D116" s="1" t="s">
        <v>253</v>
      </c>
      <c r="E116" s="1" t="s">
        <v>52</v>
      </c>
      <c r="F116" s="1" t="s">
        <v>53</v>
      </c>
      <c r="G116" s="1" t="s">
        <v>19</v>
      </c>
      <c r="H116" s="1">
        <v>1</v>
      </c>
      <c r="I116" s="1">
        <v>149.99</v>
      </c>
      <c r="J116" s="1" t="s">
        <v>34</v>
      </c>
      <c r="K116" s="1" t="s">
        <v>63</v>
      </c>
      <c r="L116" s="1" t="s">
        <v>36</v>
      </c>
      <c r="M116" s="2">
        <v>44482</v>
      </c>
      <c r="N116" s="13">
        <f>data[[#This Row],[Quantity]]*data[[#This Row],[Unit_Price]]</f>
        <v>149.99</v>
      </c>
      <c r="O116" s="12">
        <f t="shared" ca="1" si="2"/>
        <v>5</v>
      </c>
      <c r="P116" s="10">
        <f t="shared" ca="1" si="3"/>
        <v>46308.73029861111</v>
      </c>
      <c r="Q116" s="11" t="str" cm="1">
        <f t="array" ref="Q116">_xlfn.TEXTJOIN("",TRUE,LEFT(_xlfn.TEXTSPLIT(data[[#This Row],[Customer_Name]]," "),1))</f>
        <v>WW</v>
      </c>
      <c r="R116" s="24">
        <f>EOMONTH(data[[#This Row],[Date]],0)</f>
        <v>45565</v>
      </c>
      <c r="S116" s="11">
        <f>MONTH(data[[#This Row],[Date]])</f>
        <v>9</v>
      </c>
    </row>
    <row r="117" spans="1:19" ht="15" thickBot="1">
      <c r="A117" s="3" t="s">
        <v>254</v>
      </c>
      <c r="B117" s="2">
        <v>45554</v>
      </c>
      <c r="C117" s="1" t="s">
        <v>72</v>
      </c>
      <c r="D117" s="1" t="s">
        <v>73</v>
      </c>
      <c r="E117" s="1" t="s">
        <v>80</v>
      </c>
      <c r="F117" s="1" t="s">
        <v>81</v>
      </c>
      <c r="G117" s="1" t="s">
        <v>19</v>
      </c>
      <c r="H117" s="1">
        <v>4</v>
      </c>
      <c r="I117" s="1">
        <v>699.99</v>
      </c>
      <c r="J117" s="1" t="s">
        <v>34</v>
      </c>
      <c r="K117" s="1" t="s">
        <v>35</v>
      </c>
      <c r="L117" s="1" t="s">
        <v>22</v>
      </c>
      <c r="M117" s="2">
        <v>44618</v>
      </c>
      <c r="N117" s="13">
        <f>data[[#This Row],[Quantity]]*data[[#This Row],[Unit_Price]]</f>
        <v>2799.96</v>
      </c>
      <c r="O117" s="12">
        <f t="shared" ca="1" si="2"/>
        <v>4</v>
      </c>
      <c r="P117" s="10">
        <f t="shared" ca="1" si="3"/>
        <v>46308.73029861111</v>
      </c>
      <c r="Q117" s="11" t="str" cm="1">
        <f t="array" ref="Q117">_xlfn.TEXTJOIN("",TRUE,LEFT(_xlfn.TEXTSPLIT(data[[#This Row],[Customer_Name]]," "),1))</f>
        <v>PR</v>
      </c>
      <c r="R117" s="24">
        <f>EOMONTH(data[[#This Row],[Date]],0)</f>
        <v>45565</v>
      </c>
      <c r="S117" s="11">
        <f>MONTH(data[[#This Row],[Date]])</f>
        <v>9</v>
      </c>
    </row>
    <row r="118" spans="1:19" ht="15" thickBot="1">
      <c r="A118" s="3" t="s">
        <v>255</v>
      </c>
      <c r="B118" s="2">
        <v>45559</v>
      </c>
      <c r="C118" s="1" t="s">
        <v>234</v>
      </c>
      <c r="D118" s="1" t="s">
        <v>235</v>
      </c>
      <c r="E118" s="1" t="s">
        <v>61</v>
      </c>
      <c r="F118" s="1" t="s">
        <v>62</v>
      </c>
      <c r="G118" s="1" t="s">
        <v>19</v>
      </c>
      <c r="H118" s="1">
        <v>3</v>
      </c>
      <c r="I118" s="1">
        <v>899.99</v>
      </c>
      <c r="J118" s="1" t="s">
        <v>26</v>
      </c>
      <c r="K118" s="1" t="s">
        <v>40</v>
      </c>
      <c r="L118" s="1" t="s">
        <v>36</v>
      </c>
      <c r="M118" s="2">
        <v>45157</v>
      </c>
      <c r="N118" s="13">
        <f>data[[#This Row],[Quantity]]*data[[#This Row],[Unit_Price]]</f>
        <v>2699.9700000000003</v>
      </c>
      <c r="O118" s="12">
        <f t="shared" ca="1" si="2"/>
        <v>3</v>
      </c>
      <c r="P118" s="10">
        <f t="shared" ca="1" si="3"/>
        <v>46308.73029861111</v>
      </c>
      <c r="Q118" s="11" t="str" cm="1">
        <f t="array" ref="Q118">_xlfn.TEXTJOIN("",TRUE,LEFT(_xlfn.TEXTSPLIT(data[[#This Row],[Customer_Name]]," "),1))</f>
        <v>SP</v>
      </c>
      <c r="R118" s="24">
        <f>EOMONTH(data[[#This Row],[Date]],0)</f>
        <v>45565</v>
      </c>
      <c r="S118" s="11">
        <f>MONTH(data[[#This Row],[Date]])</f>
        <v>9</v>
      </c>
    </row>
    <row r="119" spans="1:19" ht="15" thickBot="1">
      <c r="A119" s="3" t="s">
        <v>256</v>
      </c>
      <c r="B119" s="2">
        <v>45560</v>
      </c>
      <c r="C119" s="1" t="s">
        <v>112</v>
      </c>
      <c r="D119" s="1" t="s">
        <v>113</v>
      </c>
      <c r="E119" s="1" t="s">
        <v>44</v>
      </c>
      <c r="F119" s="1" t="s">
        <v>45</v>
      </c>
      <c r="G119" s="1" t="s">
        <v>46</v>
      </c>
      <c r="H119" s="1">
        <v>3</v>
      </c>
      <c r="I119" s="1">
        <v>149.99</v>
      </c>
      <c r="J119" s="1" t="s">
        <v>34</v>
      </c>
      <c r="K119" s="1" t="s">
        <v>63</v>
      </c>
      <c r="L119" s="1" t="s">
        <v>22</v>
      </c>
      <c r="M119" s="2">
        <v>44886</v>
      </c>
      <c r="N119" s="13">
        <f>data[[#This Row],[Quantity]]*data[[#This Row],[Unit_Price]]</f>
        <v>449.97</v>
      </c>
      <c r="O119" s="12">
        <f t="shared" ca="1" si="2"/>
        <v>3</v>
      </c>
      <c r="P119" s="10">
        <f t="shared" ca="1" si="3"/>
        <v>46308.73029861111</v>
      </c>
      <c r="Q119" s="11" t="str" cm="1">
        <f t="array" ref="Q119">_xlfn.TEXTJOIN("",TRUE,LEFT(_xlfn.TEXTSPLIT(data[[#This Row],[Customer_Name]]," "),1))</f>
        <v>LM</v>
      </c>
      <c r="R119" s="24">
        <f>EOMONTH(data[[#This Row],[Date]],0)</f>
        <v>45565</v>
      </c>
      <c r="S119" s="11">
        <f>MONTH(data[[#This Row],[Date]])</f>
        <v>9</v>
      </c>
    </row>
    <row r="120" spans="1:19" ht="15" thickBot="1">
      <c r="A120" s="3" t="s">
        <v>257</v>
      </c>
      <c r="B120" s="2">
        <v>45563</v>
      </c>
      <c r="C120" s="1" t="s">
        <v>99</v>
      </c>
      <c r="D120" s="1" t="s">
        <v>100</v>
      </c>
      <c r="E120" s="1" t="s">
        <v>105</v>
      </c>
      <c r="F120" s="1" t="s">
        <v>106</v>
      </c>
      <c r="G120" s="1" t="s">
        <v>46</v>
      </c>
      <c r="H120" s="1">
        <v>2</v>
      </c>
      <c r="I120" s="1">
        <v>299.99</v>
      </c>
      <c r="J120" s="1" t="s">
        <v>57</v>
      </c>
      <c r="K120" s="1" t="s">
        <v>21</v>
      </c>
      <c r="L120" s="1" t="s">
        <v>22</v>
      </c>
      <c r="M120" s="2">
        <v>44569</v>
      </c>
      <c r="N120" s="13">
        <f>data[[#This Row],[Quantity]]*data[[#This Row],[Unit_Price]]</f>
        <v>599.98</v>
      </c>
      <c r="O120" s="12">
        <f t="shared" ca="1" si="2"/>
        <v>4</v>
      </c>
      <c r="P120" s="10">
        <f t="shared" ca="1" si="3"/>
        <v>46308.73029861111</v>
      </c>
      <c r="Q120" s="11" t="str" cm="1">
        <f t="array" ref="Q120">_xlfn.TEXTJOIN("",TRUE,LEFT(_xlfn.TEXTSPLIT(data[[#This Row],[Customer_Name]]," "),1))</f>
        <v>PM</v>
      </c>
      <c r="R120" s="24">
        <f>EOMONTH(data[[#This Row],[Date]],0)</f>
        <v>45565</v>
      </c>
      <c r="S120" s="11">
        <f>MONTH(data[[#This Row],[Date]])</f>
        <v>9</v>
      </c>
    </row>
    <row r="121" spans="1:19" ht="15" thickBot="1">
      <c r="A121" s="3" t="s">
        <v>258</v>
      </c>
      <c r="B121" s="2">
        <v>45564</v>
      </c>
      <c r="C121" s="1" t="s">
        <v>259</v>
      </c>
      <c r="D121" s="1" t="s">
        <v>260</v>
      </c>
      <c r="E121" s="1" t="s">
        <v>126</v>
      </c>
      <c r="F121" s="1" t="s">
        <v>127</v>
      </c>
      <c r="G121" s="1" t="s">
        <v>46</v>
      </c>
      <c r="H121" s="1">
        <v>1</v>
      </c>
      <c r="I121" s="1">
        <v>199.99</v>
      </c>
      <c r="J121" s="1" t="s">
        <v>57</v>
      </c>
      <c r="K121" s="1" t="s">
        <v>63</v>
      </c>
      <c r="L121" s="1" t="s">
        <v>36</v>
      </c>
      <c r="M121" s="2">
        <v>44953</v>
      </c>
      <c r="N121" s="13">
        <f>data[[#This Row],[Quantity]]*data[[#This Row],[Unit_Price]]</f>
        <v>199.99</v>
      </c>
      <c r="O121" s="12">
        <f t="shared" ca="1" si="2"/>
        <v>3</v>
      </c>
      <c r="P121" s="10">
        <f t="shared" ca="1" si="3"/>
        <v>46308.73029861111</v>
      </c>
      <c r="Q121" s="11" t="str" cm="1">
        <f t="array" ref="Q121">_xlfn.TEXTJOIN("",TRUE,LEFT(_xlfn.TEXTSPLIT(data[[#This Row],[Customer_Name]]," "),1))</f>
        <v>RL</v>
      </c>
      <c r="R121" s="24">
        <f>EOMONTH(data[[#This Row],[Date]],0)</f>
        <v>45565</v>
      </c>
      <c r="S121" s="11">
        <f>MONTH(data[[#This Row],[Date]])</f>
        <v>9</v>
      </c>
    </row>
    <row r="122" spans="1:19" ht="15" thickBot="1">
      <c r="A122" s="3" t="s">
        <v>261</v>
      </c>
      <c r="B122" s="2">
        <v>45566</v>
      </c>
      <c r="C122" s="1" t="s">
        <v>42</v>
      </c>
      <c r="D122" s="1" t="s">
        <v>43</v>
      </c>
      <c r="E122" s="1" t="s">
        <v>105</v>
      </c>
      <c r="F122" s="1" t="s">
        <v>106</v>
      </c>
      <c r="G122" s="1" t="s">
        <v>46</v>
      </c>
      <c r="H122" s="1">
        <v>4</v>
      </c>
      <c r="I122" s="1">
        <v>299.99</v>
      </c>
      <c r="J122" s="1" t="s">
        <v>20</v>
      </c>
      <c r="K122" s="1" t="s">
        <v>21</v>
      </c>
      <c r="L122" s="1" t="s">
        <v>27</v>
      </c>
      <c r="M122" s="2">
        <v>44460</v>
      </c>
      <c r="N122" s="13">
        <f>data[[#This Row],[Quantity]]*data[[#This Row],[Unit_Price]]</f>
        <v>1199.96</v>
      </c>
      <c r="O122" s="12">
        <f t="shared" ca="1" si="2"/>
        <v>5</v>
      </c>
      <c r="P122" s="10">
        <f t="shared" ca="1" si="3"/>
        <v>46308.73029861111</v>
      </c>
      <c r="Q122" s="11" t="str" cm="1">
        <f t="array" ref="Q122">_xlfn.TEXTJOIN("",TRUE,LEFT(_xlfn.TEXTSPLIT(data[[#This Row],[Customer_Name]]," "),1))</f>
        <v>MB</v>
      </c>
      <c r="R122" s="24">
        <f>EOMONTH(data[[#This Row],[Date]],0)</f>
        <v>45596</v>
      </c>
      <c r="S122" s="11">
        <f>MONTH(data[[#This Row],[Date]])</f>
        <v>10</v>
      </c>
    </row>
    <row r="123" spans="1:19" ht="15" thickBot="1">
      <c r="A123" s="3" t="s">
        <v>262</v>
      </c>
      <c r="B123" s="2">
        <v>45572</v>
      </c>
      <c r="C123" s="1" t="s">
        <v>89</v>
      </c>
      <c r="D123" s="1" t="s">
        <v>90</v>
      </c>
      <c r="E123" s="1" t="s">
        <v>31</v>
      </c>
      <c r="F123" s="1" t="s">
        <v>32</v>
      </c>
      <c r="G123" s="1" t="s">
        <v>33</v>
      </c>
      <c r="H123" s="1">
        <v>2</v>
      </c>
      <c r="I123" s="1">
        <v>59.99</v>
      </c>
      <c r="J123" s="1" t="s">
        <v>26</v>
      </c>
      <c r="K123" s="1" t="s">
        <v>21</v>
      </c>
      <c r="L123" s="1" t="s">
        <v>22</v>
      </c>
      <c r="M123" s="2">
        <v>44579</v>
      </c>
      <c r="N123" s="13">
        <f>data[[#This Row],[Quantity]]*data[[#This Row],[Unit_Price]]</f>
        <v>119.98</v>
      </c>
      <c r="O123" s="12">
        <f t="shared" ca="1" si="2"/>
        <v>4</v>
      </c>
      <c r="P123" s="10">
        <f t="shared" ca="1" si="3"/>
        <v>46308.73029861111</v>
      </c>
      <c r="Q123" s="11" t="str" cm="1">
        <f t="array" ref="Q123">_xlfn.TEXTJOIN("",TRUE,LEFT(_xlfn.TEXTSPLIT(data[[#This Row],[Customer_Name]]," "),1))</f>
        <v>MG</v>
      </c>
      <c r="R123" s="24">
        <f>EOMONTH(data[[#This Row],[Date]],0)</f>
        <v>45596</v>
      </c>
      <c r="S123" s="11">
        <f>MONTH(data[[#This Row],[Date]])</f>
        <v>10</v>
      </c>
    </row>
    <row r="124" spans="1:19" ht="15" thickBot="1">
      <c r="A124" s="3" t="s">
        <v>263</v>
      </c>
      <c r="B124" s="2">
        <v>45572</v>
      </c>
      <c r="C124" s="1" t="s">
        <v>234</v>
      </c>
      <c r="D124" s="1" t="s">
        <v>235</v>
      </c>
      <c r="E124" s="1" t="s">
        <v>52</v>
      </c>
      <c r="F124" s="1" t="s">
        <v>53</v>
      </c>
      <c r="G124" s="1" t="s">
        <v>19</v>
      </c>
      <c r="H124" s="1">
        <v>4</v>
      </c>
      <c r="I124" s="1">
        <v>149.99</v>
      </c>
      <c r="J124" s="1" t="s">
        <v>26</v>
      </c>
      <c r="K124" s="1" t="s">
        <v>40</v>
      </c>
      <c r="L124" s="1" t="s">
        <v>27</v>
      </c>
      <c r="M124" s="2">
        <v>45076</v>
      </c>
      <c r="N124" s="13">
        <f>data[[#This Row],[Quantity]]*data[[#This Row],[Unit_Price]]</f>
        <v>599.96</v>
      </c>
      <c r="O124" s="12">
        <f t="shared" ca="1" si="2"/>
        <v>3</v>
      </c>
      <c r="P124" s="10">
        <f t="shared" ca="1" si="3"/>
        <v>46308.73029861111</v>
      </c>
      <c r="Q124" s="11" t="str" cm="1">
        <f t="array" ref="Q124">_xlfn.TEXTJOIN("",TRUE,LEFT(_xlfn.TEXTSPLIT(data[[#This Row],[Customer_Name]]," "),1))</f>
        <v>SP</v>
      </c>
      <c r="R124" s="24">
        <f>EOMONTH(data[[#This Row],[Date]],0)</f>
        <v>45596</v>
      </c>
      <c r="S124" s="11">
        <f>MONTH(data[[#This Row],[Date]])</f>
        <v>10</v>
      </c>
    </row>
    <row r="125" spans="1:19" ht="15" thickBot="1">
      <c r="A125" s="3" t="s">
        <v>264</v>
      </c>
      <c r="B125" s="2">
        <v>45573</v>
      </c>
      <c r="C125" s="1" t="s">
        <v>211</v>
      </c>
      <c r="D125" s="1" t="s">
        <v>212</v>
      </c>
      <c r="E125" s="1" t="s">
        <v>80</v>
      </c>
      <c r="F125" s="1" t="s">
        <v>81</v>
      </c>
      <c r="G125" s="1" t="s">
        <v>19</v>
      </c>
      <c r="H125" s="1">
        <v>2</v>
      </c>
      <c r="I125" s="1">
        <v>699.99</v>
      </c>
      <c r="J125" s="1" t="s">
        <v>57</v>
      </c>
      <c r="K125" s="1" t="s">
        <v>63</v>
      </c>
      <c r="L125" s="1" t="s">
        <v>27</v>
      </c>
      <c r="M125" s="2">
        <v>45274</v>
      </c>
      <c r="N125" s="13">
        <f>data[[#This Row],[Quantity]]*data[[#This Row],[Unit_Price]]</f>
        <v>1399.98</v>
      </c>
      <c r="O125" s="12">
        <f t="shared" ca="1" si="2"/>
        <v>2</v>
      </c>
      <c r="P125" s="10">
        <f t="shared" ca="1" si="3"/>
        <v>46308.73029861111</v>
      </c>
      <c r="Q125" s="11" t="str" cm="1">
        <f t="array" ref="Q125">_xlfn.TEXTJOIN("",TRUE,LEFT(_xlfn.TEXTSPLIT(data[[#This Row],[Customer_Name]]," "),1))</f>
        <v>EH</v>
      </c>
      <c r="R125" s="24">
        <f>EOMONTH(data[[#This Row],[Date]],0)</f>
        <v>45596</v>
      </c>
      <c r="S125" s="11">
        <f>MONTH(data[[#This Row],[Date]])</f>
        <v>10</v>
      </c>
    </row>
    <row r="126" spans="1:19" ht="15" thickBot="1">
      <c r="A126" s="3" t="s">
        <v>265</v>
      </c>
      <c r="B126" s="2">
        <v>45573</v>
      </c>
      <c r="C126" s="1" t="s">
        <v>231</v>
      </c>
      <c r="D126" s="1" t="s">
        <v>232</v>
      </c>
      <c r="E126" s="1" t="s">
        <v>44</v>
      </c>
      <c r="F126" s="1" t="s">
        <v>45</v>
      </c>
      <c r="G126" s="1" t="s">
        <v>46</v>
      </c>
      <c r="H126" s="1">
        <v>3</v>
      </c>
      <c r="I126" s="1">
        <v>149.99</v>
      </c>
      <c r="J126" s="1" t="s">
        <v>26</v>
      </c>
      <c r="K126" s="1" t="s">
        <v>35</v>
      </c>
      <c r="L126" s="1" t="s">
        <v>36</v>
      </c>
      <c r="M126" s="2">
        <v>44940</v>
      </c>
      <c r="N126" s="13">
        <f>data[[#This Row],[Quantity]]*data[[#This Row],[Unit_Price]]</f>
        <v>449.97</v>
      </c>
      <c r="O126" s="12">
        <f t="shared" ca="1" si="2"/>
        <v>3</v>
      </c>
      <c r="P126" s="10">
        <f t="shared" ca="1" si="3"/>
        <v>46308.73029861111</v>
      </c>
      <c r="Q126" s="11" t="str" cm="1">
        <f t="array" ref="Q126">_xlfn.TEXTJOIN("",TRUE,LEFT(_xlfn.TEXTSPLIT(data[[#This Row],[Customer_Name]]," "),1))</f>
        <v>CE</v>
      </c>
      <c r="R126" s="24">
        <f>EOMONTH(data[[#This Row],[Date]],0)</f>
        <v>45596</v>
      </c>
      <c r="S126" s="11">
        <f>MONTH(data[[#This Row],[Date]])</f>
        <v>10</v>
      </c>
    </row>
    <row r="127" spans="1:19" ht="15" thickBot="1">
      <c r="A127" s="3" t="s">
        <v>266</v>
      </c>
      <c r="B127" s="2">
        <v>45576</v>
      </c>
      <c r="C127" s="1" t="s">
        <v>147</v>
      </c>
      <c r="D127" s="1" t="s">
        <v>148</v>
      </c>
      <c r="E127" s="1" t="s">
        <v>105</v>
      </c>
      <c r="F127" s="1" t="s">
        <v>106</v>
      </c>
      <c r="G127" s="1" t="s">
        <v>46</v>
      </c>
      <c r="H127" s="1">
        <v>3</v>
      </c>
      <c r="I127" s="1">
        <v>299.99</v>
      </c>
      <c r="J127" s="1" t="s">
        <v>26</v>
      </c>
      <c r="K127" s="1" t="s">
        <v>21</v>
      </c>
      <c r="L127" s="1" t="s">
        <v>36</v>
      </c>
      <c r="M127" s="2">
        <v>45174</v>
      </c>
      <c r="N127" s="13">
        <f>data[[#This Row],[Quantity]]*data[[#This Row],[Unit_Price]]</f>
        <v>899.97</v>
      </c>
      <c r="O127" s="12">
        <f t="shared" ca="1" si="2"/>
        <v>3</v>
      </c>
      <c r="P127" s="10">
        <f t="shared" ca="1" si="3"/>
        <v>46308.73029861111</v>
      </c>
      <c r="Q127" s="11" t="str" cm="1">
        <f t="array" ref="Q127">_xlfn.TEXTJOIN("",TRUE,LEFT(_xlfn.TEXTSPLIT(data[[#This Row],[Customer_Name]]," "),1))</f>
        <v>DK</v>
      </c>
      <c r="R127" s="24">
        <f>EOMONTH(data[[#This Row],[Date]],0)</f>
        <v>45596</v>
      </c>
      <c r="S127" s="11">
        <f>MONTH(data[[#This Row],[Date]])</f>
        <v>10</v>
      </c>
    </row>
    <row r="128" spans="1:19" ht="15" thickBot="1">
      <c r="A128" s="3" t="s">
        <v>267</v>
      </c>
      <c r="B128" s="2">
        <v>45579</v>
      </c>
      <c r="C128" s="1" t="s">
        <v>83</v>
      </c>
      <c r="D128" s="1" t="s">
        <v>84</v>
      </c>
      <c r="E128" s="1" t="s">
        <v>61</v>
      </c>
      <c r="F128" s="1" t="s">
        <v>62</v>
      </c>
      <c r="G128" s="1" t="s">
        <v>19</v>
      </c>
      <c r="H128" s="1">
        <v>3</v>
      </c>
      <c r="I128" s="1">
        <v>899.99</v>
      </c>
      <c r="J128" s="1" t="s">
        <v>34</v>
      </c>
      <c r="K128" s="1" t="s">
        <v>50</v>
      </c>
      <c r="L128" s="1" t="s">
        <v>22</v>
      </c>
      <c r="M128" s="2">
        <v>45215</v>
      </c>
      <c r="N128" s="13">
        <f>data[[#This Row],[Quantity]]*data[[#This Row],[Unit_Price]]</f>
        <v>2699.9700000000003</v>
      </c>
      <c r="O128" s="12">
        <f t="shared" ca="1" si="2"/>
        <v>2</v>
      </c>
      <c r="P128" s="10">
        <f t="shared" ca="1" si="3"/>
        <v>46308.73029861111</v>
      </c>
      <c r="Q128" s="11" t="str" cm="1">
        <f t="array" ref="Q128">_xlfn.TEXTJOIN("",TRUE,LEFT(_xlfn.TEXTSPLIT(data[[#This Row],[Customer_Name]]," "),1))</f>
        <v>GA</v>
      </c>
      <c r="R128" s="24">
        <f>EOMONTH(data[[#This Row],[Date]],0)</f>
        <v>45596</v>
      </c>
      <c r="S128" s="11">
        <f>MONTH(data[[#This Row],[Date]])</f>
        <v>10</v>
      </c>
    </row>
    <row r="129" spans="1:19" ht="15" thickBot="1">
      <c r="A129" s="3" t="s">
        <v>268</v>
      </c>
      <c r="B129" s="2">
        <v>45581</v>
      </c>
      <c r="C129" s="1" t="s">
        <v>96</v>
      </c>
      <c r="D129" s="1" t="s">
        <v>97</v>
      </c>
      <c r="E129" s="1" t="s">
        <v>80</v>
      </c>
      <c r="F129" s="1" t="s">
        <v>81</v>
      </c>
      <c r="G129" s="1" t="s">
        <v>19</v>
      </c>
      <c r="H129" s="1">
        <v>5</v>
      </c>
      <c r="I129" s="1">
        <v>699.99</v>
      </c>
      <c r="J129" s="1" t="s">
        <v>20</v>
      </c>
      <c r="K129" s="1" t="s">
        <v>63</v>
      </c>
      <c r="L129" s="1" t="s">
        <v>36</v>
      </c>
      <c r="M129" s="2">
        <v>45008</v>
      </c>
      <c r="N129" s="13">
        <f>data[[#This Row],[Quantity]]*data[[#This Row],[Unit_Price]]</f>
        <v>3499.95</v>
      </c>
      <c r="O129" s="12">
        <f t="shared" ca="1" si="2"/>
        <v>3</v>
      </c>
      <c r="P129" s="10">
        <f t="shared" ca="1" si="3"/>
        <v>46308.73029861111</v>
      </c>
      <c r="Q129" s="11" t="str" cm="1">
        <f t="array" ref="Q129">_xlfn.TEXTJOIN("",TRUE,LEFT(_xlfn.TEXTSPLIT(data[[#This Row],[Customer_Name]]," "),1))</f>
        <v>BY</v>
      </c>
      <c r="R129" s="24">
        <f>EOMONTH(data[[#This Row],[Date]],0)</f>
        <v>45596</v>
      </c>
      <c r="S129" s="11">
        <f>MONTH(data[[#This Row],[Date]])</f>
        <v>10</v>
      </c>
    </row>
    <row r="130" spans="1:19" ht="15" thickBot="1">
      <c r="A130" s="3" t="s">
        <v>269</v>
      </c>
      <c r="B130" s="2">
        <v>45581</v>
      </c>
      <c r="C130" s="1" t="s">
        <v>171</v>
      </c>
      <c r="D130" s="1" t="s">
        <v>172</v>
      </c>
      <c r="E130" s="1" t="s">
        <v>80</v>
      </c>
      <c r="F130" s="1" t="s">
        <v>81</v>
      </c>
      <c r="G130" s="1" t="s">
        <v>19</v>
      </c>
      <c r="H130" s="1">
        <v>4</v>
      </c>
      <c r="I130" s="1">
        <v>699.99</v>
      </c>
      <c r="J130" s="1" t="s">
        <v>26</v>
      </c>
      <c r="K130" s="1" t="s">
        <v>21</v>
      </c>
      <c r="L130" s="1" t="s">
        <v>22</v>
      </c>
      <c r="M130" s="2">
        <v>45385</v>
      </c>
      <c r="N130" s="13">
        <f>data[[#This Row],[Quantity]]*data[[#This Row],[Unit_Price]]</f>
        <v>2799.96</v>
      </c>
      <c r="O130" s="12">
        <f t="shared" ref="O130:O193" ca="1" si="4">DATEDIF(M130,TODAY(),"Y")</f>
        <v>2</v>
      </c>
      <c r="P130" s="10">
        <f t="shared" ref="P130:P193" ca="1" si="5">NOW()</f>
        <v>46308.73029861111</v>
      </c>
      <c r="Q130" s="11" t="str" cm="1">
        <f t="array" ref="Q130">_xlfn.TEXTJOIN("",TRUE,LEFT(_xlfn.TEXTSPLIT(data[[#This Row],[Customer_Name]]," "),1))</f>
        <v>RR</v>
      </c>
      <c r="R130" s="24">
        <f>EOMONTH(data[[#This Row],[Date]],0)</f>
        <v>45596</v>
      </c>
      <c r="S130" s="11">
        <f>MONTH(data[[#This Row],[Date]])</f>
        <v>10</v>
      </c>
    </row>
    <row r="131" spans="1:19" ht="15" thickBot="1">
      <c r="A131" s="3" t="s">
        <v>270</v>
      </c>
      <c r="B131" s="2">
        <v>45581</v>
      </c>
      <c r="C131" s="1" t="s">
        <v>150</v>
      </c>
      <c r="D131" s="1" t="s">
        <v>151</v>
      </c>
      <c r="E131" s="1" t="s">
        <v>61</v>
      </c>
      <c r="F131" s="1" t="s">
        <v>62</v>
      </c>
      <c r="G131" s="1" t="s">
        <v>19</v>
      </c>
      <c r="H131" s="1">
        <v>1</v>
      </c>
      <c r="I131" s="1">
        <v>899.99</v>
      </c>
      <c r="J131" s="1" t="s">
        <v>26</v>
      </c>
      <c r="K131" s="1" t="s">
        <v>63</v>
      </c>
      <c r="L131" s="1" t="s">
        <v>36</v>
      </c>
      <c r="M131" s="2">
        <v>45369</v>
      </c>
      <c r="N131" s="13">
        <f>data[[#This Row],[Quantity]]*data[[#This Row],[Unit_Price]]</f>
        <v>899.99</v>
      </c>
      <c r="O131" s="12">
        <f t="shared" ca="1" si="4"/>
        <v>2</v>
      </c>
      <c r="P131" s="10">
        <f t="shared" ca="1" si="5"/>
        <v>46308.73029861111</v>
      </c>
      <c r="Q131" s="11" t="str" cm="1">
        <f t="array" ref="Q131">_xlfn.TEXTJOIN("",TRUE,LEFT(_xlfn.TEXTSPLIT(data[[#This Row],[Customer_Name]]," "),1))</f>
        <v>SB</v>
      </c>
      <c r="R131" s="24">
        <f>EOMONTH(data[[#This Row],[Date]],0)</f>
        <v>45596</v>
      </c>
      <c r="S131" s="11">
        <f>MONTH(data[[#This Row],[Date]])</f>
        <v>10</v>
      </c>
    </row>
    <row r="132" spans="1:19" ht="15" thickBot="1">
      <c r="A132" s="3" t="s">
        <v>271</v>
      </c>
      <c r="B132" s="2">
        <v>45583</v>
      </c>
      <c r="C132" s="1" t="s">
        <v>226</v>
      </c>
      <c r="D132" s="1" t="s">
        <v>227</v>
      </c>
      <c r="E132" s="1" t="s">
        <v>52</v>
      </c>
      <c r="F132" s="1" t="s">
        <v>53</v>
      </c>
      <c r="G132" s="1" t="s">
        <v>19</v>
      </c>
      <c r="H132" s="1">
        <v>2</v>
      </c>
      <c r="I132" s="1">
        <v>149.99</v>
      </c>
      <c r="J132" s="1" t="s">
        <v>26</v>
      </c>
      <c r="K132" s="1" t="s">
        <v>50</v>
      </c>
      <c r="L132" s="1" t="s">
        <v>22</v>
      </c>
      <c r="M132" s="2">
        <v>44916</v>
      </c>
      <c r="N132" s="13">
        <f>data[[#This Row],[Quantity]]*data[[#This Row],[Unit_Price]]</f>
        <v>299.98</v>
      </c>
      <c r="O132" s="12">
        <f t="shared" ca="1" si="4"/>
        <v>3</v>
      </c>
      <c r="P132" s="10">
        <f t="shared" ca="1" si="5"/>
        <v>46308.73029861111</v>
      </c>
      <c r="Q132" s="11" t="str" cm="1">
        <f t="array" ref="Q132">_xlfn.TEXTJOIN("",TRUE,LEFT(_xlfn.TEXTSPLIT(data[[#This Row],[Customer_Name]]," "),1))</f>
        <v>LR</v>
      </c>
      <c r="R132" s="24">
        <f>EOMONTH(data[[#This Row],[Date]],0)</f>
        <v>45596</v>
      </c>
      <c r="S132" s="11">
        <f>MONTH(data[[#This Row],[Date]])</f>
        <v>10</v>
      </c>
    </row>
    <row r="133" spans="1:19" ht="15" thickBot="1">
      <c r="A133" s="3" t="s">
        <v>272</v>
      </c>
      <c r="B133" s="2">
        <v>45586</v>
      </c>
      <c r="C133" s="1" t="s">
        <v>226</v>
      </c>
      <c r="D133" s="1" t="s">
        <v>227</v>
      </c>
      <c r="E133" s="1" t="s">
        <v>117</v>
      </c>
      <c r="F133" s="1" t="s">
        <v>118</v>
      </c>
      <c r="G133" s="1" t="s">
        <v>19</v>
      </c>
      <c r="H133" s="1">
        <v>3</v>
      </c>
      <c r="I133" s="1">
        <v>89.99</v>
      </c>
      <c r="J133" s="1" t="s">
        <v>34</v>
      </c>
      <c r="K133" s="1" t="s">
        <v>21</v>
      </c>
      <c r="L133" s="1" t="s">
        <v>22</v>
      </c>
      <c r="M133" s="2">
        <v>44551</v>
      </c>
      <c r="N133" s="13">
        <f>data[[#This Row],[Quantity]]*data[[#This Row],[Unit_Price]]</f>
        <v>269.96999999999997</v>
      </c>
      <c r="O133" s="12">
        <f t="shared" ca="1" si="4"/>
        <v>4</v>
      </c>
      <c r="P133" s="10">
        <f t="shared" ca="1" si="5"/>
        <v>46308.73029861111</v>
      </c>
      <c r="Q133" s="11" t="str" cm="1">
        <f t="array" ref="Q133">_xlfn.TEXTJOIN("",TRUE,LEFT(_xlfn.TEXTSPLIT(data[[#This Row],[Customer_Name]]," "),1))</f>
        <v>LR</v>
      </c>
      <c r="R133" s="24">
        <f>EOMONTH(data[[#This Row],[Date]],0)</f>
        <v>45596</v>
      </c>
      <c r="S133" s="11">
        <f>MONTH(data[[#This Row],[Date]])</f>
        <v>10</v>
      </c>
    </row>
    <row r="134" spans="1:19" ht="15" thickBot="1">
      <c r="A134" s="3" t="s">
        <v>273</v>
      </c>
      <c r="B134" s="2">
        <v>45588</v>
      </c>
      <c r="C134" s="1" t="s">
        <v>38</v>
      </c>
      <c r="D134" s="1" t="s">
        <v>39</v>
      </c>
      <c r="E134" s="1" t="s">
        <v>52</v>
      </c>
      <c r="F134" s="1" t="s">
        <v>53</v>
      </c>
      <c r="G134" s="1" t="s">
        <v>19</v>
      </c>
      <c r="H134" s="1">
        <v>2</v>
      </c>
      <c r="I134" s="1">
        <v>149.99</v>
      </c>
      <c r="J134" s="1" t="s">
        <v>34</v>
      </c>
      <c r="K134" s="1" t="s">
        <v>21</v>
      </c>
      <c r="L134" s="1" t="s">
        <v>22</v>
      </c>
      <c r="M134" s="2">
        <v>44473</v>
      </c>
      <c r="N134" s="13">
        <f>data[[#This Row],[Quantity]]*data[[#This Row],[Unit_Price]]</f>
        <v>299.98</v>
      </c>
      <c r="O134" s="12">
        <f t="shared" ca="1" si="4"/>
        <v>5</v>
      </c>
      <c r="P134" s="10">
        <f t="shared" ca="1" si="5"/>
        <v>46308.73029861111</v>
      </c>
      <c r="Q134" s="11" t="str" cm="1">
        <f t="array" ref="Q134">_xlfn.TEXTJOIN("",TRUE,LEFT(_xlfn.TEXTSPLIT(data[[#This Row],[Customer_Name]]," "),1))</f>
        <v>KB</v>
      </c>
      <c r="R134" s="24">
        <f>EOMONTH(data[[#This Row],[Date]],0)</f>
        <v>45596</v>
      </c>
      <c r="S134" s="11">
        <f>MONTH(data[[#This Row],[Date]])</f>
        <v>10</v>
      </c>
    </row>
    <row r="135" spans="1:19" ht="15" thickBot="1">
      <c r="A135" s="3" t="s">
        <v>274</v>
      </c>
      <c r="B135" s="2">
        <v>45588</v>
      </c>
      <c r="C135" s="1" t="s">
        <v>154</v>
      </c>
      <c r="D135" s="1" t="s">
        <v>155</v>
      </c>
      <c r="E135" s="1" t="s">
        <v>80</v>
      </c>
      <c r="F135" s="1" t="s">
        <v>81</v>
      </c>
      <c r="G135" s="1" t="s">
        <v>19</v>
      </c>
      <c r="H135" s="1">
        <v>2</v>
      </c>
      <c r="I135" s="1">
        <v>699.99</v>
      </c>
      <c r="J135" s="1" t="s">
        <v>20</v>
      </c>
      <c r="K135" s="1" t="s">
        <v>21</v>
      </c>
      <c r="L135" s="1" t="s">
        <v>22</v>
      </c>
      <c r="M135" s="2">
        <v>44992</v>
      </c>
      <c r="N135" s="13">
        <f>data[[#This Row],[Quantity]]*data[[#This Row],[Unit_Price]]</f>
        <v>1399.98</v>
      </c>
      <c r="O135" s="12">
        <f t="shared" ca="1" si="4"/>
        <v>3</v>
      </c>
      <c r="P135" s="10">
        <f t="shared" ca="1" si="5"/>
        <v>46308.73029861111</v>
      </c>
      <c r="Q135" s="11" t="str" cm="1">
        <f t="array" ref="Q135">_xlfn.TEXTJOIN("",TRUE,LEFT(_xlfn.TEXTSPLIT(data[[#This Row],[Customer_Name]]," "),1))</f>
        <v>SD</v>
      </c>
      <c r="R135" s="24">
        <f>EOMONTH(data[[#This Row],[Date]],0)</f>
        <v>45596</v>
      </c>
      <c r="S135" s="11">
        <f>MONTH(data[[#This Row],[Date]])</f>
        <v>10</v>
      </c>
    </row>
    <row r="136" spans="1:19" ht="15" thickBot="1">
      <c r="A136" s="3" t="s">
        <v>275</v>
      </c>
      <c r="B136" s="2">
        <v>45589</v>
      </c>
      <c r="C136" s="1" t="s">
        <v>158</v>
      </c>
      <c r="D136" s="1" t="s">
        <v>159</v>
      </c>
      <c r="E136" s="1" t="s">
        <v>80</v>
      </c>
      <c r="F136" s="1" t="s">
        <v>81</v>
      </c>
      <c r="G136" s="1" t="s">
        <v>19</v>
      </c>
      <c r="H136" s="1">
        <v>5</v>
      </c>
      <c r="I136" s="1">
        <v>699.99</v>
      </c>
      <c r="J136" s="1" t="s">
        <v>20</v>
      </c>
      <c r="K136" s="1" t="s">
        <v>40</v>
      </c>
      <c r="L136" s="1" t="s">
        <v>27</v>
      </c>
      <c r="M136" s="2">
        <v>44635</v>
      </c>
      <c r="N136" s="13">
        <f>data[[#This Row],[Quantity]]*data[[#This Row],[Unit_Price]]</f>
        <v>3499.95</v>
      </c>
      <c r="O136" s="12">
        <f t="shared" ca="1" si="4"/>
        <v>4</v>
      </c>
      <c r="P136" s="10">
        <f t="shared" ca="1" si="5"/>
        <v>46308.73029861111</v>
      </c>
      <c r="Q136" s="11" t="str" cm="1">
        <f t="array" ref="Q136">_xlfn.TEXTJOIN("",TRUE,LEFT(_xlfn.TEXTSPLIT(data[[#This Row],[Customer_Name]]," "),1))</f>
        <v>BC</v>
      </c>
      <c r="R136" s="24">
        <f>EOMONTH(data[[#This Row],[Date]],0)</f>
        <v>45596</v>
      </c>
      <c r="S136" s="11">
        <f>MONTH(data[[#This Row],[Date]])</f>
        <v>10</v>
      </c>
    </row>
    <row r="137" spans="1:19" ht="15" thickBot="1">
      <c r="A137" s="3" t="s">
        <v>276</v>
      </c>
      <c r="B137" s="2">
        <v>45592</v>
      </c>
      <c r="C137" s="1" t="s">
        <v>171</v>
      </c>
      <c r="D137" s="1" t="s">
        <v>172</v>
      </c>
      <c r="E137" s="1" t="s">
        <v>117</v>
      </c>
      <c r="F137" s="1" t="s">
        <v>118</v>
      </c>
      <c r="G137" s="1" t="s">
        <v>19</v>
      </c>
      <c r="H137" s="1">
        <v>3</v>
      </c>
      <c r="I137" s="1">
        <v>89.99</v>
      </c>
      <c r="J137" s="1" t="s">
        <v>26</v>
      </c>
      <c r="K137" s="1" t="s">
        <v>40</v>
      </c>
      <c r="L137" s="1" t="s">
        <v>36</v>
      </c>
      <c r="M137" s="2">
        <v>44615</v>
      </c>
      <c r="N137" s="13">
        <f>data[[#This Row],[Quantity]]*data[[#This Row],[Unit_Price]]</f>
        <v>269.96999999999997</v>
      </c>
      <c r="O137" s="12">
        <f t="shared" ca="1" si="4"/>
        <v>4</v>
      </c>
      <c r="P137" s="10">
        <f t="shared" ca="1" si="5"/>
        <v>46308.73029861111</v>
      </c>
      <c r="Q137" s="11" t="str" cm="1">
        <f t="array" ref="Q137">_xlfn.TEXTJOIN("",TRUE,LEFT(_xlfn.TEXTSPLIT(data[[#This Row],[Customer_Name]]," "),1))</f>
        <v>RR</v>
      </c>
      <c r="R137" s="24">
        <f>EOMONTH(data[[#This Row],[Date]],0)</f>
        <v>45596</v>
      </c>
      <c r="S137" s="11">
        <f>MONTH(data[[#This Row],[Date]])</f>
        <v>10</v>
      </c>
    </row>
    <row r="138" spans="1:19" ht="15" thickBot="1">
      <c r="A138" s="3" t="s">
        <v>277</v>
      </c>
      <c r="B138" s="2">
        <v>45597</v>
      </c>
      <c r="C138" s="1" t="s">
        <v>15</v>
      </c>
      <c r="D138" s="1" t="s">
        <v>16</v>
      </c>
      <c r="E138" s="1" t="s">
        <v>17</v>
      </c>
      <c r="F138" s="1" t="s">
        <v>18</v>
      </c>
      <c r="G138" s="1" t="s">
        <v>19</v>
      </c>
      <c r="H138" s="1">
        <v>5</v>
      </c>
      <c r="I138" s="1">
        <v>249.99</v>
      </c>
      <c r="J138" s="1" t="s">
        <v>26</v>
      </c>
      <c r="K138" s="1" t="s">
        <v>35</v>
      </c>
      <c r="L138" s="1" t="s">
        <v>36</v>
      </c>
      <c r="M138" s="2">
        <v>44881</v>
      </c>
      <c r="N138" s="13">
        <f>data[[#This Row],[Quantity]]*data[[#This Row],[Unit_Price]]</f>
        <v>1249.95</v>
      </c>
      <c r="O138" s="12">
        <f t="shared" ca="1" si="4"/>
        <v>3</v>
      </c>
      <c r="P138" s="10">
        <f t="shared" ca="1" si="5"/>
        <v>46308.73029861111</v>
      </c>
      <c r="Q138" s="11" t="str" cm="1">
        <f t="array" ref="Q138">_xlfn.TEXTJOIN("",TRUE,LEFT(_xlfn.TEXTSPLIT(data[[#This Row],[Customer_Name]]," "),1))</f>
        <v>PB</v>
      </c>
      <c r="R138" s="24">
        <f>EOMONTH(data[[#This Row],[Date]],0)</f>
        <v>45626</v>
      </c>
      <c r="S138" s="11">
        <f>MONTH(data[[#This Row],[Date]])</f>
        <v>11</v>
      </c>
    </row>
    <row r="139" spans="1:19" ht="15" thickBot="1">
      <c r="A139" s="3" t="s">
        <v>278</v>
      </c>
      <c r="B139" s="2">
        <v>45600</v>
      </c>
      <c r="C139" s="1" t="s">
        <v>65</v>
      </c>
      <c r="D139" s="1" t="s">
        <v>66</v>
      </c>
      <c r="E139" s="1" t="s">
        <v>105</v>
      </c>
      <c r="F139" s="1" t="s">
        <v>106</v>
      </c>
      <c r="G139" s="1" t="s">
        <v>46</v>
      </c>
      <c r="H139" s="1">
        <v>3</v>
      </c>
      <c r="I139" s="1">
        <v>299.99</v>
      </c>
      <c r="J139" s="1" t="s">
        <v>26</v>
      </c>
      <c r="K139" s="1" t="s">
        <v>35</v>
      </c>
      <c r="L139" s="1" t="s">
        <v>36</v>
      </c>
      <c r="M139" s="2">
        <v>44502</v>
      </c>
      <c r="N139" s="13">
        <f>data[[#This Row],[Quantity]]*data[[#This Row],[Unit_Price]]</f>
        <v>899.97</v>
      </c>
      <c r="O139" s="12">
        <f t="shared" ca="1" si="4"/>
        <v>4</v>
      </c>
      <c r="P139" s="10">
        <f t="shared" ca="1" si="5"/>
        <v>46308.73029861111</v>
      </c>
      <c r="Q139" s="11" t="str" cm="1">
        <f t="array" ref="Q139">_xlfn.TEXTJOIN("",TRUE,LEFT(_xlfn.TEXTSPLIT(data[[#This Row],[Customer_Name]]," "),1))</f>
        <v>KH</v>
      </c>
      <c r="R139" s="24">
        <f>EOMONTH(data[[#This Row],[Date]],0)</f>
        <v>45626</v>
      </c>
      <c r="S139" s="11">
        <f>MONTH(data[[#This Row],[Date]])</f>
        <v>11</v>
      </c>
    </row>
    <row r="140" spans="1:19" ht="15" thickBot="1">
      <c r="A140" s="3" t="s">
        <v>279</v>
      </c>
      <c r="B140" s="2">
        <v>45603</v>
      </c>
      <c r="C140" s="1" t="s">
        <v>99</v>
      </c>
      <c r="D140" s="1" t="s">
        <v>100</v>
      </c>
      <c r="E140" s="1" t="s">
        <v>117</v>
      </c>
      <c r="F140" s="1" t="s">
        <v>118</v>
      </c>
      <c r="G140" s="1" t="s">
        <v>19</v>
      </c>
      <c r="H140" s="1">
        <v>3</v>
      </c>
      <c r="I140" s="1">
        <v>89.99</v>
      </c>
      <c r="J140" s="1" t="s">
        <v>26</v>
      </c>
      <c r="K140" s="1" t="s">
        <v>40</v>
      </c>
      <c r="L140" s="1" t="s">
        <v>27</v>
      </c>
      <c r="M140" s="2">
        <v>44420</v>
      </c>
      <c r="N140" s="13">
        <f>data[[#This Row],[Quantity]]*data[[#This Row],[Unit_Price]]</f>
        <v>269.96999999999997</v>
      </c>
      <c r="O140" s="12">
        <f t="shared" ca="1" si="4"/>
        <v>5</v>
      </c>
      <c r="P140" s="10">
        <f t="shared" ca="1" si="5"/>
        <v>46308.73029861111</v>
      </c>
      <c r="Q140" s="11" t="str" cm="1">
        <f t="array" ref="Q140">_xlfn.TEXTJOIN("",TRUE,LEFT(_xlfn.TEXTSPLIT(data[[#This Row],[Customer_Name]]," "),1))</f>
        <v>PM</v>
      </c>
      <c r="R140" s="24">
        <f>EOMONTH(data[[#This Row],[Date]],0)</f>
        <v>45626</v>
      </c>
      <c r="S140" s="11">
        <f>MONTH(data[[#This Row],[Date]])</f>
        <v>11</v>
      </c>
    </row>
    <row r="141" spans="1:19" ht="15" thickBot="1">
      <c r="A141" s="3" t="s">
        <v>280</v>
      </c>
      <c r="B141" s="2">
        <v>45604</v>
      </c>
      <c r="C141" s="1" t="s">
        <v>89</v>
      </c>
      <c r="D141" s="1" t="s">
        <v>90</v>
      </c>
      <c r="E141" s="1" t="s">
        <v>44</v>
      </c>
      <c r="F141" s="1" t="s">
        <v>45</v>
      </c>
      <c r="G141" s="1" t="s">
        <v>46</v>
      </c>
      <c r="H141" s="1">
        <v>2</v>
      </c>
      <c r="I141" s="1">
        <v>149.99</v>
      </c>
      <c r="J141" s="1" t="s">
        <v>26</v>
      </c>
      <c r="K141" s="1" t="s">
        <v>50</v>
      </c>
      <c r="L141" s="1" t="s">
        <v>27</v>
      </c>
      <c r="M141" s="2">
        <v>44848</v>
      </c>
      <c r="N141" s="13">
        <f>data[[#This Row],[Quantity]]*data[[#This Row],[Unit_Price]]</f>
        <v>299.98</v>
      </c>
      <c r="O141" s="12">
        <f t="shared" ca="1" si="4"/>
        <v>3</v>
      </c>
      <c r="P141" s="10">
        <f t="shared" ca="1" si="5"/>
        <v>46308.73029861111</v>
      </c>
      <c r="Q141" s="11" t="str" cm="1">
        <f t="array" ref="Q141">_xlfn.TEXTJOIN("",TRUE,LEFT(_xlfn.TEXTSPLIT(data[[#This Row],[Customer_Name]]," "),1))</f>
        <v>MG</v>
      </c>
      <c r="R141" s="24">
        <f>EOMONTH(data[[#This Row],[Date]],0)</f>
        <v>45626</v>
      </c>
      <c r="S141" s="11">
        <f>MONTH(data[[#This Row],[Date]])</f>
        <v>11</v>
      </c>
    </row>
    <row r="142" spans="1:19" ht="15" thickBot="1">
      <c r="A142" s="3" t="s">
        <v>281</v>
      </c>
      <c r="B142" s="2">
        <v>45605</v>
      </c>
      <c r="C142" s="1" t="s">
        <v>185</v>
      </c>
      <c r="D142" s="1" t="s">
        <v>186</v>
      </c>
      <c r="E142" s="1" t="s">
        <v>17</v>
      </c>
      <c r="F142" s="1" t="s">
        <v>18</v>
      </c>
      <c r="G142" s="1" t="s">
        <v>19</v>
      </c>
      <c r="H142" s="1">
        <v>1</v>
      </c>
      <c r="I142" s="1">
        <v>249.99</v>
      </c>
      <c r="J142" s="1" t="s">
        <v>26</v>
      </c>
      <c r="K142" s="1" t="s">
        <v>40</v>
      </c>
      <c r="L142" s="1" t="s">
        <v>27</v>
      </c>
      <c r="M142" s="2">
        <v>44828</v>
      </c>
      <c r="N142" s="13">
        <f>data[[#This Row],[Quantity]]*data[[#This Row],[Unit_Price]]</f>
        <v>249.99</v>
      </c>
      <c r="O142" s="12">
        <f t="shared" ca="1" si="4"/>
        <v>4</v>
      </c>
      <c r="P142" s="10">
        <f t="shared" ca="1" si="5"/>
        <v>46308.73029861111</v>
      </c>
      <c r="Q142" s="11" t="str" cm="1">
        <f t="array" ref="Q142">_xlfn.TEXTJOIN("",TRUE,LEFT(_xlfn.TEXTSPLIT(data[[#This Row],[Customer_Name]]," "),1))</f>
        <v>MW</v>
      </c>
      <c r="R142" s="24">
        <f>EOMONTH(data[[#This Row],[Date]],0)</f>
        <v>45626</v>
      </c>
      <c r="S142" s="11">
        <f>MONTH(data[[#This Row],[Date]])</f>
        <v>11</v>
      </c>
    </row>
    <row r="143" spans="1:19" ht="15" thickBot="1">
      <c r="A143" s="3" t="s">
        <v>282</v>
      </c>
      <c r="B143" s="2">
        <v>45607</v>
      </c>
      <c r="C143" s="1" t="s">
        <v>72</v>
      </c>
      <c r="D143" s="1" t="s">
        <v>73</v>
      </c>
      <c r="E143" s="1" t="s">
        <v>52</v>
      </c>
      <c r="F143" s="1" t="s">
        <v>53</v>
      </c>
      <c r="G143" s="1" t="s">
        <v>19</v>
      </c>
      <c r="H143" s="1">
        <v>3</v>
      </c>
      <c r="I143" s="1">
        <v>149.99</v>
      </c>
      <c r="J143" s="1" t="s">
        <v>20</v>
      </c>
      <c r="K143" s="1" t="s">
        <v>40</v>
      </c>
      <c r="L143" s="1" t="s">
        <v>22</v>
      </c>
      <c r="M143" s="2">
        <v>44769</v>
      </c>
      <c r="N143" s="13">
        <f>data[[#This Row],[Quantity]]*data[[#This Row],[Unit_Price]]</f>
        <v>449.97</v>
      </c>
      <c r="O143" s="12">
        <f t="shared" ca="1" si="4"/>
        <v>4</v>
      </c>
      <c r="P143" s="10">
        <f t="shared" ca="1" si="5"/>
        <v>46308.73029861111</v>
      </c>
      <c r="Q143" s="11" t="str" cm="1">
        <f t="array" ref="Q143">_xlfn.TEXTJOIN("",TRUE,LEFT(_xlfn.TEXTSPLIT(data[[#This Row],[Customer_Name]]," "),1))</f>
        <v>PR</v>
      </c>
      <c r="R143" s="24">
        <f>EOMONTH(data[[#This Row],[Date]],0)</f>
        <v>45626</v>
      </c>
      <c r="S143" s="11">
        <f>MONTH(data[[#This Row],[Date]])</f>
        <v>11</v>
      </c>
    </row>
    <row r="144" spans="1:19" ht="15" thickBot="1">
      <c r="A144" s="3" t="s">
        <v>283</v>
      </c>
      <c r="B144" s="2">
        <v>45607</v>
      </c>
      <c r="C144" s="1" t="s">
        <v>15</v>
      </c>
      <c r="D144" s="1" t="s">
        <v>16</v>
      </c>
      <c r="E144" s="1" t="s">
        <v>31</v>
      </c>
      <c r="F144" s="1" t="s">
        <v>32</v>
      </c>
      <c r="G144" s="1" t="s">
        <v>33</v>
      </c>
      <c r="H144" s="1">
        <v>5</v>
      </c>
      <c r="I144" s="1">
        <v>59.99</v>
      </c>
      <c r="J144" s="1" t="s">
        <v>34</v>
      </c>
      <c r="K144" s="1" t="s">
        <v>50</v>
      </c>
      <c r="L144" s="1" t="s">
        <v>27</v>
      </c>
      <c r="M144" s="2">
        <v>44694</v>
      </c>
      <c r="N144" s="13">
        <f>data[[#This Row],[Quantity]]*data[[#This Row],[Unit_Price]]</f>
        <v>299.95</v>
      </c>
      <c r="O144" s="12">
        <f t="shared" ca="1" si="4"/>
        <v>4</v>
      </c>
      <c r="P144" s="10">
        <f t="shared" ca="1" si="5"/>
        <v>46308.73029861111</v>
      </c>
      <c r="Q144" s="11" t="str" cm="1">
        <f t="array" ref="Q144">_xlfn.TEXTJOIN("",TRUE,LEFT(_xlfn.TEXTSPLIT(data[[#This Row],[Customer_Name]]," "),1))</f>
        <v>PB</v>
      </c>
      <c r="R144" s="24">
        <f>EOMONTH(data[[#This Row],[Date]],0)</f>
        <v>45626</v>
      </c>
      <c r="S144" s="11">
        <f>MONTH(data[[#This Row],[Date]])</f>
        <v>11</v>
      </c>
    </row>
    <row r="145" spans="1:19" ht="15" thickBot="1">
      <c r="A145" s="3" t="s">
        <v>284</v>
      </c>
      <c r="B145" s="2">
        <v>45607</v>
      </c>
      <c r="C145" s="1" t="s">
        <v>99</v>
      </c>
      <c r="D145" s="1" t="s">
        <v>100</v>
      </c>
      <c r="E145" s="1" t="s">
        <v>17</v>
      </c>
      <c r="F145" s="1" t="s">
        <v>18</v>
      </c>
      <c r="G145" s="1" t="s">
        <v>19</v>
      </c>
      <c r="H145" s="1">
        <v>4</v>
      </c>
      <c r="I145" s="1">
        <v>249.99</v>
      </c>
      <c r="J145" s="1" t="s">
        <v>26</v>
      </c>
      <c r="K145" s="1" t="s">
        <v>50</v>
      </c>
      <c r="L145" s="1" t="s">
        <v>36</v>
      </c>
      <c r="M145" s="2">
        <v>44659</v>
      </c>
      <c r="N145" s="13">
        <f>data[[#This Row],[Quantity]]*data[[#This Row],[Unit_Price]]</f>
        <v>999.96</v>
      </c>
      <c r="O145" s="12">
        <f t="shared" ca="1" si="4"/>
        <v>4</v>
      </c>
      <c r="P145" s="10">
        <f t="shared" ca="1" si="5"/>
        <v>46308.73029861111</v>
      </c>
      <c r="Q145" s="11" t="str" cm="1">
        <f t="array" ref="Q145">_xlfn.TEXTJOIN("",TRUE,LEFT(_xlfn.TEXTSPLIT(data[[#This Row],[Customer_Name]]," "),1))</f>
        <v>PM</v>
      </c>
      <c r="R145" s="24">
        <f>EOMONTH(data[[#This Row],[Date]],0)</f>
        <v>45626</v>
      </c>
      <c r="S145" s="11">
        <f>MONTH(data[[#This Row],[Date]])</f>
        <v>11</v>
      </c>
    </row>
    <row r="146" spans="1:19" ht="15" thickBot="1">
      <c r="A146" s="3" t="s">
        <v>285</v>
      </c>
      <c r="B146" s="2">
        <v>45608</v>
      </c>
      <c r="C146" s="1" t="s">
        <v>154</v>
      </c>
      <c r="D146" s="1" t="s">
        <v>155</v>
      </c>
      <c r="E146" s="1" t="s">
        <v>44</v>
      </c>
      <c r="F146" s="1" t="s">
        <v>45</v>
      </c>
      <c r="G146" s="1" t="s">
        <v>46</v>
      </c>
      <c r="H146" s="1">
        <v>5</v>
      </c>
      <c r="I146" s="1">
        <v>149.99</v>
      </c>
      <c r="J146" s="1" t="s">
        <v>34</v>
      </c>
      <c r="K146" s="1" t="s">
        <v>21</v>
      </c>
      <c r="L146" s="1" t="s">
        <v>22</v>
      </c>
      <c r="M146" s="2">
        <v>44901</v>
      </c>
      <c r="N146" s="13">
        <f>data[[#This Row],[Quantity]]*data[[#This Row],[Unit_Price]]</f>
        <v>749.95</v>
      </c>
      <c r="O146" s="12">
        <f t="shared" ca="1" si="4"/>
        <v>3</v>
      </c>
      <c r="P146" s="10">
        <f t="shared" ca="1" si="5"/>
        <v>46308.73029861111</v>
      </c>
      <c r="Q146" s="11" t="str" cm="1">
        <f t="array" ref="Q146">_xlfn.TEXTJOIN("",TRUE,LEFT(_xlfn.TEXTSPLIT(data[[#This Row],[Customer_Name]]," "),1))</f>
        <v>SD</v>
      </c>
      <c r="R146" s="24">
        <f>EOMONTH(data[[#This Row],[Date]],0)</f>
        <v>45626</v>
      </c>
      <c r="S146" s="11">
        <f>MONTH(data[[#This Row],[Date]])</f>
        <v>11</v>
      </c>
    </row>
    <row r="147" spans="1:19" ht="15" thickBot="1">
      <c r="A147" s="3" t="s">
        <v>286</v>
      </c>
      <c r="B147" s="2">
        <v>45608</v>
      </c>
      <c r="C147" s="1" t="s">
        <v>83</v>
      </c>
      <c r="D147" s="1" t="s">
        <v>84</v>
      </c>
      <c r="E147" s="1" t="s">
        <v>31</v>
      </c>
      <c r="F147" s="1" t="s">
        <v>32</v>
      </c>
      <c r="G147" s="1" t="s">
        <v>33</v>
      </c>
      <c r="H147" s="1">
        <v>3</v>
      </c>
      <c r="I147" s="1">
        <v>59.99</v>
      </c>
      <c r="J147" s="1" t="s">
        <v>57</v>
      </c>
      <c r="K147" s="1" t="s">
        <v>35</v>
      </c>
      <c r="L147" s="1" t="s">
        <v>36</v>
      </c>
      <c r="M147" s="2">
        <v>45260</v>
      </c>
      <c r="N147" s="13">
        <f>data[[#This Row],[Quantity]]*data[[#This Row],[Unit_Price]]</f>
        <v>179.97</v>
      </c>
      <c r="O147" s="12">
        <f t="shared" ca="1" si="4"/>
        <v>2</v>
      </c>
      <c r="P147" s="10">
        <f t="shared" ca="1" si="5"/>
        <v>46308.73029861111</v>
      </c>
      <c r="Q147" s="11" t="str" cm="1">
        <f t="array" ref="Q147">_xlfn.TEXTJOIN("",TRUE,LEFT(_xlfn.TEXTSPLIT(data[[#This Row],[Customer_Name]]," "),1))</f>
        <v>GA</v>
      </c>
      <c r="R147" s="24">
        <f>EOMONTH(data[[#This Row],[Date]],0)</f>
        <v>45626</v>
      </c>
      <c r="S147" s="11">
        <f>MONTH(data[[#This Row],[Date]])</f>
        <v>11</v>
      </c>
    </row>
    <row r="148" spans="1:19" ht="15" thickBot="1">
      <c r="A148" s="3" t="s">
        <v>287</v>
      </c>
      <c r="B148" s="2">
        <v>45613</v>
      </c>
      <c r="C148" s="1" t="s">
        <v>234</v>
      </c>
      <c r="D148" s="1" t="s">
        <v>235</v>
      </c>
      <c r="E148" s="1" t="s">
        <v>44</v>
      </c>
      <c r="F148" s="1" t="s">
        <v>45</v>
      </c>
      <c r="G148" s="1" t="s">
        <v>46</v>
      </c>
      <c r="H148" s="1">
        <v>5</v>
      </c>
      <c r="I148" s="1">
        <v>149.99</v>
      </c>
      <c r="J148" s="1" t="s">
        <v>20</v>
      </c>
      <c r="K148" s="1" t="s">
        <v>40</v>
      </c>
      <c r="L148" s="1" t="s">
        <v>22</v>
      </c>
      <c r="M148" s="2">
        <v>44869</v>
      </c>
      <c r="N148" s="13">
        <f>data[[#This Row],[Quantity]]*data[[#This Row],[Unit_Price]]</f>
        <v>749.95</v>
      </c>
      <c r="O148" s="12">
        <f t="shared" ca="1" si="4"/>
        <v>3</v>
      </c>
      <c r="P148" s="10">
        <f t="shared" ca="1" si="5"/>
        <v>46308.73029861111</v>
      </c>
      <c r="Q148" s="11" t="str" cm="1">
        <f t="array" ref="Q148">_xlfn.TEXTJOIN("",TRUE,LEFT(_xlfn.TEXTSPLIT(data[[#This Row],[Customer_Name]]," "),1))</f>
        <v>SP</v>
      </c>
      <c r="R148" s="24">
        <f>EOMONTH(data[[#This Row],[Date]],0)</f>
        <v>45626</v>
      </c>
      <c r="S148" s="11">
        <f>MONTH(data[[#This Row],[Date]])</f>
        <v>11</v>
      </c>
    </row>
    <row r="149" spans="1:19" ht="15" thickBot="1">
      <c r="A149" s="3" t="s">
        <v>288</v>
      </c>
      <c r="B149" s="2">
        <v>45613</v>
      </c>
      <c r="C149" s="1" t="s">
        <v>86</v>
      </c>
      <c r="D149" s="1" t="s">
        <v>87</v>
      </c>
      <c r="E149" s="1" t="s">
        <v>80</v>
      </c>
      <c r="F149" s="1" t="s">
        <v>81</v>
      </c>
      <c r="G149" s="1" t="s">
        <v>19</v>
      </c>
      <c r="H149" s="1">
        <v>2</v>
      </c>
      <c r="I149" s="1">
        <v>699.99</v>
      </c>
      <c r="J149" s="1" t="s">
        <v>34</v>
      </c>
      <c r="K149" s="1" t="s">
        <v>50</v>
      </c>
      <c r="L149" s="1" t="s">
        <v>36</v>
      </c>
      <c r="M149" s="2">
        <v>44770</v>
      </c>
      <c r="N149" s="13">
        <f>data[[#This Row],[Quantity]]*data[[#This Row],[Unit_Price]]</f>
        <v>1399.98</v>
      </c>
      <c r="O149" s="12">
        <f t="shared" ca="1" si="4"/>
        <v>4</v>
      </c>
      <c r="P149" s="10">
        <f t="shared" ca="1" si="5"/>
        <v>46308.73029861111</v>
      </c>
      <c r="Q149" s="11" t="str" cm="1">
        <f t="array" ref="Q149">_xlfn.TEXTJOIN("",TRUE,LEFT(_xlfn.TEXTSPLIT(data[[#This Row],[Customer_Name]]," "),1))</f>
        <v>MC</v>
      </c>
      <c r="R149" s="24">
        <f>EOMONTH(data[[#This Row],[Date]],0)</f>
        <v>45626</v>
      </c>
      <c r="S149" s="11">
        <f>MONTH(data[[#This Row],[Date]])</f>
        <v>11</v>
      </c>
    </row>
    <row r="150" spans="1:19" ht="15" thickBot="1">
      <c r="A150" s="3" t="s">
        <v>289</v>
      </c>
      <c r="B150" s="2">
        <v>45617</v>
      </c>
      <c r="C150" s="1" t="s">
        <v>123</v>
      </c>
      <c r="D150" s="1" t="s">
        <v>124</v>
      </c>
      <c r="E150" s="1" t="s">
        <v>126</v>
      </c>
      <c r="F150" s="1" t="s">
        <v>127</v>
      </c>
      <c r="G150" s="1" t="s">
        <v>46</v>
      </c>
      <c r="H150" s="1">
        <v>4</v>
      </c>
      <c r="I150" s="1">
        <v>199.99</v>
      </c>
      <c r="J150" s="1" t="s">
        <v>57</v>
      </c>
      <c r="K150" s="1" t="s">
        <v>21</v>
      </c>
      <c r="L150" s="1" t="s">
        <v>27</v>
      </c>
      <c r="M150" s="2">
        <v>44427</v>
      </c>
      <c r="N150" s="13">
        <f>data[[#This Row],[Quantity]]*data[[#This Row],[Unit_Price]]</f>
        <v>799.96</v>
      </c>
      <c r="O150" s="12">
        <f t="shared" ca="1" si="4"/>
        <v>5</v>
      </c>
      <c r="P150" s="10">
        <f t="shared" ca="1" si="5"/>
        <v>46308.73029861111</v>
      </c>
      <c r="Q150" s="11" t="str" cm="1">
        <f t="array" ref="Q150">_xlfn.TEXTJOIN("",TRUE,LEFT(_xlfn.TEXTSPLIT(data[[#This Row],[Customer_Name]]," "),1))</f>
        <v>EM</v>
      </c>
      <c r="R150" s="24">
        <f>EOMONTH(data[[#This Row],[Date]],0)</f>
        <v>45626</v>
      </c>
      <c r="S150" s="11">
        <f>MONTH(data[[#This Row],[Date]])</f>
        <v>11</v>
      </c>
    </row>
    <row r="151" spans="1:19" ht="15" thickBot="1">
      <c r="A151" s="3" t="s">
        <v>290</v>
      </c>
      <c r="B151" s="2">
        <v>45619</v>
      </c>
      <c r="C151" s="1" t="s">
        <v>192</v>
      </c>
      <c r="D151" s="1" t="s">
        <v>193</v>
      </c>
      <c r="E151" s="1" t="s">
        <v>31</v>
      </c>
      <c r="F151" s="1" t="s">
        <v>32</v>
      </c>
      <c r="G151" s="1" t="s">
        <v>33</v>
      </c>
      <c r="H151" s="1">
        <v>1</v>
      </c>
      <c r="I151" s="1">
        <v>59.99</v>
      </c>
      <c r="J151" s="1" t="s">
        <v>57</v>
      </c>
      <c r="K151" s="1" t="s">
        <v>50</v>
      </c>
      <c r="L151" s="1" t="s">
        <v>36</v>
      </c>
      <c r="M151" s="2">
        <v>44560</v>
      </c>
      <c r="N151" s="13">
        <f>data[[#This Row],[Quantity]]*data[[#This Row],[Unit_Price]]</f>
        <v>59.99</v>
      </c>
      <c r="O151" s="12">
        <f t="shared" ca="1" si="4"/>
        <v>4</v>
      </c>
      <c r="P151" s="10">
        <f t="shared" ca="1" si="5"/>
        <v>46308.73029861111</v>
      </c>
      <c r="Q151" s="11" t="str" cm="1">
        <f t="array" ref="Q151">_xlfn.TEXTJOIN("",TRUE,LEFT(_xlfn.TEXTSPLIT(data[[#This Row],[Customer_Name]]," "),1))</f>
        <v>FT</v>
      </c>
      <c r="R151" s="24">
        <f>EOMONTH(data[[#This Row],[Date]],0)</f>
        <v>45626</v>
      </c>
      <c r="S151" s="11">
        <f>MONTH(data[[#This Row],[Date]])</f>
        <v>11</v>
      </c>
    </row>
    <row r="152" spans="1:19" ht="15" thickBot="1">
      <c r="A152" s="3" t="s">
        <v>291</v>
      </c>
      <c r="B152" s="2">
        <v>45619</v>
      </c>
      <c r="C152" s="1" t="s">
        <v>154</v>
      </c>
      <c r="D152" s="1" t="s">
        <v>155</v>
      </c>
      <c r="E152" s="1" t="s">
        <v>80</v>
      </c>
      <c r="F152" s="1" t="s">
        <v>81</v>
      </c>
      <c r="G152" s="1" t="s">
        <v>19</v>
      </c>
      <c r="H152" s="1">
        <v>3</v>
      </c>
      <c r="I152" s="1">
        <v>699.99</v>
      </c>
      <c r="J152" s="1" t="s">
        <v>34</v>
      </c>
      <c r="K152" s="1" t="s">
        <v>50</v>
      </c>
      <c r="L152" s="1" t="s">
        <v>36</v>
      </c>
      <c r="M152" s="2">
        <v>44583</v>
      </c>
      <c r="N152" s="13">
        <f>data[[#This Row],[Quantity]]*data[[#This Row],[Unit_Price]]</f>
        <v>2099.9700000000003</v>
      </c>
      <c r="O152" s="12">
        <f t="shared" ca="1" si="4"/>
        <v>4</v>
      </c>
      <c r="P152" s="10">
        <f t="shared" ca="1" si="5"/>
        <v>46308.73029861111</v>
      </c>
      <c r="Q152" s="11" t="str" cm="1">
        <f t="array" ref="Q152">_xlfn.TEXTJOIN("",TRUE,LEFT(_xlfn.TEXTSPLIT(data[[#This Row],[Customer_Name]]," "),1))</f>
        <v>SD</v>
      </c>
      <c r="R152" s="24">
        <f>EOMONTH(data[[#This Row],[Date]],0)</f>
        <v>45626</v>
      </c>
      <c r="S152" s="11">
        <f>MONTH(data[[#This Row],[Date]])</f>
        <v>11</v>
      </c>
    </row>
    <row r="153" spans="1:19" ht="15" thickBot="1">
      <c r="A153" s="3" t="s">
        <v>292</v>
      </c>
      <c r="B153" s="2">
        <v>45622</v>
      </c>
      <c r="C153" s="1" t="s">
        <v>293</v>
      </c>
      <c r="D153" s="1" t="s">
        <v>294</v>
      </c>
      <c r="E153" s="1" t="s">
        <v>17</v>
      </c>
      <c r="F153" s="1" t="s">
        <v>18</v>
      </c>
      <c r="G153" s="1" t="s">
        <v>19</v>
      </c>
      <c r="H153" s="1">
        <v>5</v>
      </c>
      <c r="I153" s="1">
        <v>249.99</v>
      </c>
      <c r="J153" s="1" t="s">
        <v>26</v>
      </c>
      <c r="K153" s="1" t="s">
        <v>40</v>
      </c>
      <c r="L153" s="1" t="s">
        <v>22</v>
      </c>
      <c r="M153" s="2">
        <v>44873</v>
      </c>
      <c r="N153" s="13">
        <f>data[[#This Row],[Quantity]]*data[[#This Row],[Unit_Price]]</f>
        <v>1249.95</v>
      </c>
      <c r="O153" s="12">
        <f t="shared" ca="1" si="4"/>
        <v>3</v>
      </c>
      <c r="P153" s="10">
        <f t="shared" ca="1" si="5"/>
        <v>46308.73029861111</v>
      </c>
      <c r="Q153" s="11" t="str" cm="1">
        <f t="array" ref="Q153">_xlfn.TEXTJOIN("",TRUE,LEFT(_xlfn.TEXTSPLIT(data[[#This Row],[Customer_Name]]," "),1))</f>
        <v>DW</v>
      </c>
      <c r="R153" s="24">
        <f>EOMONTH(data[[#This Row],[Date]],0)</f>
        <v>45626</v>
      </c>
      <c r="S153" s="11">
        <f>MONTH(data[[#This Row],[Date]])</f>
        <v>11</v>
      </c>
    </row>
    <row r="154" spans="1:19" ht="15" thickBot="1">
      <c r="A154" s="3" t="s">
        <v>295</v>
      </c>
      <c r="B154" s="2">
        <v>45623</v>
      </c>
      <c r="C154" s="1" t="s">
        <v>112</v>
      </c>
      <c r="D154" s="1" t="s">
        <v>113</v>
      </c>
      <c r="E154" s="1" t="s">
        <v>44</v>
      </c>
      <c r="F154" s="1" t="s">
        <v>45</v>
      </c>
      <c r="G154" s="1" t="s">
        <v>46</v>
      </c>
      <c r="H154" s="1">
        <v>2</v>
      </c>
      <c r="I154" s="1">
        <v>149.99</v>
      </c>
      <c r="J154" s="1" t="s">
        <v>20</v>
      </c>
      <c r="K154" s="1" t="s">
        <v>35</v>
      </c>
      <c r="L154" s="1" t="s">
        <v>36</v>
      </c>
      <c r="M154" s="2">
        <v>45101</v>
      </c>
      <c r="N154" s="13">
        <f>data[[#This Row],[Quantity]]*data[[#This Row],[Unit_Price]]</f>
        <v>299.98</v>
      </c>
      <c r="O154" s="12">
        <f t="shared" ca="1" si="4"/>
        <v>3</v>
      </c>
      <c r="P154" s="10">
        <f t="shared" ca="1" si="5"/>
        <v>46308.73029861111</v>
      </c>
      <c r="Q154" s="11" t="str" cm="1">
        <f t="array" ref="Q154">_xlfn.TEXTJOIN("",TRUE,LEFT(_xlfn.TEXTSPLIT(data[[#This Row],[Customer_Name]]," "),1))</f>
        <v>LM</v>
      </c>
      <c r="R154" s="24">
        <f>EOMONTH(data[[#This Row],[Date]],0)</f>
        <v>45626</v>
      </c>
      <c r="S154" s="11">
        <f>MONTH(data[[#This Row],[Date]])</f>
        <v>11</v>
      </c>
    </row>
    <row r="155" spans="1:19" ht="15" thickBot="1">
      <c r="A155" s="3" t="s">
        <v>296</v>
      </c>
      <c r="B155" s="2">
        <v>45627</v>
      </c>
      <c r="C155" s="1" t="s">
        <v>29</v>
      </c>
      <c r="D155" s="1" t="s">
        <v>30</v>
      </c>
      <c r="E155" s="1" t="s">
        <v>105</v>
      </c>
      <c r="F155" s="1" t="s">
        <v>106</v>
      </c>
      <c r="G155" s="1" t="s">
        <v>46</v>
      </c>
      <c r="H155" s="1">
        <v>3</v>
      </c>
      <c r="I155" s="1">
        <v>299.99</v>
      </c>
      <c r="J155" s="1" t="s">
        <v>20</v>
      </c>
      <c r="K155" s="1" t="s">
        <v>35</v>
      </c>
      <c r="L155" s="1" t="s">
        <v>27</v>
      </c>
      <c r="M155" s="2">
        <v>44659</v>
      </c>
      <c r="N155" s="13">
        <f>data[[#This Row],[Quantity]]*data[[#This Row],[Unit_Price]]</f>
        <v>899.97</v>
      </c>
      <c r="O155" s="12">
        <f t="shared" ca="1" si="4"/>
        <v>4</v>
      </c>
      <c r="P155" s="10">
        <f t="shared" ca="1" si="5"/>
        <v>46308.73029861111</v>
      </c>
      <c r="Q155" s="11" t="str" cm="1">
        <f t="array" ref="Q155">_xlfn.TEXTJOIN("",TRUE,LEFT(_xlfn.TEXTSPLIT(data[[#This Row],[Customer_Name]]," "),1))</f>
        <v>KS</v>
      </c>
      <c r="R155" s="24">
        <f>EOMONTH(data[[#This Row],[Date]],0)</f>
        <v>45657</v>
      </c>
      <c r="S155" s="11">
        <f>MONTH(data[[#This Row],[Date]])</f>
        <v>12</v>
      </c>
    </row>
    <row r="156" spans="1:19" ht="15" thickBot="1">
      <c r="A156" s="3" t="s">
        <v>297</v>
      </c>
      <c r="B156" s="2">
        <v>45627</v>
      </c>
      <c r="C156" s="1" t="s">
        <v>55</v>
      </c>
      <c r="D156" s="1" t="s">
        <v>56</v>
      </c>
      <c r="E156" s="1" t="s">
        <v>17</v>
      </c>
      <c r="F156" s="1" t="s">
        <v>18</v>
      </c>
      <c r="G156" s="1" t="s">
        <v>19</v>
      </c>
      <c r="H156" s="1">
        <v>5</v>
      </c>
      <c r="I156" s="1">
        <v>249.99</v>
      </c>
      <c r="J156" s="1" t="s">
        <v>20</v>
      </c>
      <c r="K156" s="1" t="s">
        <v>21</v>
      </c>
      <c r="L156" s="1" t="s">
        <v>27</v>
      </c>
      <c r="M156" s="2">
        <v>44485</v>
      </c>
      <c r="N156" s="13">
        <f>data[[#This Row],[Quantity]]*data[[#This Row],[Unit_Price]]</f>
        <v>1249.95</v>
      </c>
      <c r="O156" s="12">
        <f t="shared" ca="1" si="4"/>
        <v>4</v>
      </c>
      <c r="P156" s="10">
        <f t="shared" ca="1" si="5"/>
        <v>46308.73029861111</v>
      </c>
      <c r="Q156" s="11" t="str" cm="1">
        <f t="array" ref="Q156">_xlfn.TEXTJOIN("",TRUE,LEFT(_xlfn.TEXTSPLIT(data[[#This Row],[Customer_Name]]," "),1))</f>
        <v>CA</v>
      </c>
      <c r="R156" s="24">
        <f>EOMONTH(data[[#This Row],[Date]],0)</f>
        <v>45657</v>
      </c>
      <c r="S156" s="11">
        <f>MONTH(data[[#This Row],[Date]])</f>
        <v>12</v>
      </c>
    </row>
    <row r="157" spans="1:19" ht="15" thickBot="1">
      <c r="A157" s="3" t="s">
        <v>298</v>
      </c>
      <c r="B157" s="2">
        <v>45627</v>
      </c>
      <c r="C157" s="1" t="s">
        <v>24</v>
      </c>
      <c r="D157" s="1" t="s">
        <v>25</v>
      </c>
      <c r="E157" s="1" t="s">
        <v>52</v>
      </c>
      <c r="F157" s="1" t="s">
        <v>53</v>
      </c>
      <c r="G157" s="1" t="s">
        <v>19</v>
      </c>
      <c r="H157" s="1">
        <v>2</v>
      </c>
      <c r="I157" s="1">
        <v>149.99</v>
      </c>
      <c r="J157" s="1" t="s">
        <v>20</v>
      </c>
      <c r="K157" s="1" t="s">
        <v>35</v>
      </c>
      <c r="L157" s="1" t="s">
        <v>27</v>
      </c>
      <c r="M157" s="2">
        <v>44475</v>
      </c>
      <c r="N157" s="13">
        <f>data[[#This Row],[Quantity]]*data[[#This Row],[Unit_Price]]</f>
        <v>299.98</v>
      </c>
      <c r="O157" s="12">
        <f t="shared" ca="1" si="4"/>
        <v>5</v>
      </c>
      <c r="P157" s="10">
        <f t="shared" ca="1" si="5"/>
        <v>46308.73029861111</v>
      </c>
      <c r="Q157" s="11" t="str" cm="1">
        <f t="array" ref="Q157">_xlfn.TEXTJOIN("",TRUE,LEFT(_xlfn.TEXTSPLIT(data[[#This Row],[Customer_Name]]," "),1))</f>
        <v>JJ</v>
      </c>
      <c r="R157" s="24">
        <f>EOMONTH(data[[#This Row],[Date]],0)</f>
        <v>45657</v>
      </c>
      <c r="S157" s="11">
        <f>MONTH(data[[#This Row],[Date]])</f>
        <v>12</v>
      </c>
    </row>
    <row r="158" spans="1:19" ht="15" thickBot="1">
      <c r="A158" s="3" t="s">
        <v>299</v>
      </c>
      <c r="B158" s="2">
        <v>45627</v>
      </c>
      <c r="C158" s="1" t="s">
        <v>86</v>
      </c>
      <c r="D158" s="1" t="s">
        <v>87</v>
      </c>
      <c r="E158" s="1" t="s">
        <v>80</v>
      </c>
      <c r="F158" s="1" t="s">
        <v>81</v>
      </c>
      <c r="G158" s="1" t="s">
        <v>19</v>
      </c>
      <c r="H158" s="1">
        <v>5</v>
      </c>
      <c r="I158" s="1">
        <v>699.99</v>
      </c>
      <c r="J158" s="1" t="s">
        <v>57</v>
      </c>
      <c r="K158" s="1" t="s">
        <v>50</v>
      </c>
      <c r="L158" s="1" t="s">
        <v>36</v>
      </c>
      <c r="M158" s="2">
        <v>44944</v>
      </c>
      <c r="N158" s="13">
        <f>data[[#This Row],[Quantity]]*data[[#This Row],[Unit_Price]]</f>
        <v>3499.95</v>
      </c>
      <c r="O158" s="12">
        <f t="shared" ca="1" si="4"/>
        <v>3</v>
      </c>
      <c r="P158" s="10">
        <f t="shared" ca="1" si="5"/>
        <v>46308.73029861111</v>
      </c>
      <c r="Q158" s="11" t="str" cm="1">
        <f t="array" ref="Q158">_xlfn.TEXTJOIN("",TRUE,LEFT(_xlfn.TEXTSPLIT(data[[#This Row],[Customer_Name]]," "),1))</f>
        <v>MC</v>
      </c>
      <c r="R158" s="24">
        <f>EOMONTH(data[[#This Row],[Date]],0)</f>
        <v>45657</v>
      </c>
      <c r="S158" s="11">
        <f>MONTH(data[[#This Row],[Date]])</f>
        <v>12</v>
      </c>
    </row>
    <row r="159" spans="1:19" ht="15" thickBot="1">
      <c r="A159" s="3" t="s">
        <v>300</v>
      </c>
      <c r="B159" s="2">
        <v>45629</v>
      </c>
      <c r="C159" s="1" t="s">
        <v>252</v>
      </c>
      <c r="D159" s="1" t="s">
        <v>253</v>
      </c>
      <c r="E159" s="1" t="s">
        <v>17</v>
      </c>
      <c r="F159" s="1" t="s">
        <v>18</v>
      </c>
      <c r="G159" s="1" t="s">
        <v>19</v>
      </c>
      <c r="H159" s="1">
        <v>4</v>
      </c>
      <c r="I159" s="1">
        <v>249.99</v>
      </c>
      <c r="J159" s="1" t="s">
        <v>34</v>
      </c>
      <c r="K159" s="1" t="s">
        <v>63</v>
      </c>
      <c r="L159" s="1" t="s">
        <v>27</v>
      </c>
      <c r="M159" s="2">
        <v>45098</v>
      </c>
      <c r="N159" s="13">
        <f>data[[#This Row],[Quantity]]*data[[#This Row],[Unit_Price]]</f>
        <v>999.96</v>
      </c>
      <c r="O159" s="12">
        <f t="shared" ca="1" si="4"/>
        <v>3</v>
      </c>
      <c r="P159" s="10">
        <f t="shared" ca="1" si="5"/>
        <v>46308.73029861111</v>
      </c>
      <c r="Q159" s="11" t="str" cm="1">
        <f t="array" ref="Q159">_xlfn.TEXTJOIN("",TRUE,LEFT(_xlfn.TEXTSPLIT(data[[#This Row],[Customer_Name]]," "),1))</f>
        <v>WW</v>
      </c>
      <c r="R159" s="24">
        <f>EOMONTH(data[[#This Row],[Date]],0)</f>
        <v>45657</v>
      </c>
      <c r="S159" s="11">
        <f>MONTH(data[[#This Row],[Date]])</f>
        <v>12</v>
      </c>
    </row>
    <row r="160" spans="1:19" ht="15" thickBot="1">
      <c r="A160" s="3" t="s">
        <v>301</v>
      </c>
      <c r="B160" s="2">
        <v>45630</v>
      </c>
      <c r="C160" s="1" t="s">
        <v>48</v>
      </c>
      <c r="D160" s="1" t="s">
        <v>49</v>
      </c>
      <c r="E160" s="1" t="s">
        <v>80</v>
      </c>
      <c r="F160" s="1" t="s">
        <v>81</v>
      </c>
      <c r="G160" s="1" t="s">
        <v>19</v>
      </c>
      <c r="H160" s="1">
        <v>4</v>
      </c>
      <c r="I160" s="1">
        <v>699.99</v>
      </c>
      <c r="J160" s="1" t="s">
        <v>26</v>
      </c>
      <c r="K160" s="1" t="s">
        <v>40</v>
      </c>
      <c r="L160" s="1" t="s">
        <v>27</v>
      </c>
      <c r="M160" s="2">
        <v>44703</v>
      </c>
      <c r="N160" s="13">
        <f>data[[#This Row],[Quantity]]*data[[#This Row],[Unit_Price]]</f>
        <v>2799.96</v>
      </c>
      <c r="O160" s="12">
        <f t="shared" ca="1" si="4"/>
        <v>4</v>
      </c>
      <c r="P160" s="10">
        <f t="shared" ca="1" si="5"/>
        <v>46308.73029861111</v>
      </c>
      <c r="Q160" s="11" t="str" cm="1">
        <f t="array" ref="Q160">_xlfn.TEXTJOIN("",TRUE,LEFT(_xlfn.TEXTSPLIT(data[[#This Row],[Customer_Name]]," "),1))</f>
        <v>DN</v>
      </c>
      <c r="R160" s="24">
        <f>EOMONTH(data[[#This Row],[Date]],0)</f>
        <v>45657</v>
      </c>
      <c r="S160" s="11">
        <f>MONTH(data[[#This Row],[Date]])</f>
        <v>12</v>
      </c>
    </row>
    <row r="161" spans="1:19" ht="15" thickBot="1">
      <c r="A161" s="3" t="s">
        <v>302</v>
      </c>
      <c r="B161" s="2">
        <v>45635</v>
      </c>
      <c r="C161" s="1" t="s">
        <v>108</v>
      </c>
      <c r="D161" s="1" t="s">
        <v>109</v>
      </c>
      <c r="E161" s="1" t="s">
        <v>17</v>
      </c>
      <c r="F161" s="1" t="s">
        <v>18</v>
      </c>
      <c r="G161" s="1" t="s">
        <v>19</v>
      </c>
      <c r="H161" s="1">
        <v>2</v>
      </c>
      <c r="I161" s="1">
        <v>249.99</v>
      </c>
      <c r="J161" s="1" t="s">
        <v>26</v>
      </c>
      <c r="K161" s="1" t="s">
        <v>21</v>
      </c>
      <c r="L161" s="1" t="s">
        <v>27</v>
      </c>
      <c r="M161" s="2">
        <v>44396</v>
      </c>
      <c r="N161" s="13">
        <f>data[[#This Row],[Quantity]]*data[[#This Row],[Unit_Price]]</f>
        <v>499.98</v>
      </c>
      <c r="O161" s="12">
        <f t="shared" ca="1" si="4"/>
        <v>5</v>
      </c>
      <c r="P161" s="10">
        <f t="shared" ca="1" si="5"/>
        <v>46308.73029861111</v>
      </c>
      <c r="Q161" s="11" t="str" cm="1">
        <f t="array" ref="Q161">_xlfn.TEXTJOIN("",TRUE,LEFT(_xlfn.TEXTSPLIT(data[[#This Row],[Customer_Name]]," "),1))</f>
        <v>NC</v>
      </c>
      <c r="R161" s="24">
        <f>EOMONTH(data[[#This Row],[Date]],0)</f>
        <v>45657</v>
      </c>
      <c r="S161" s="11">
        <f>MONTH(data[[#This Row],[Date]])</f>
        <v>12</v>
      </c>
    </row>
    <row r="162" spans="1:19" ht="15" thickBot="1">
      <c r="A162" s="3" t="s">
        <v>303</v>
      </c>
      <c r="B162" s="2">
        <v>45635</v>
      </c>
      <c r="C162" s="1" t="s">
        <v>304</v>
      </c>
      <c r="D162" s="1" t="s">
        <v>305</v>
      </c>
      <c r="E162" s="1" t="s">
        <v>31</v>
      </c>
      <c r="F162" s="1" t="s">
        <v>32</v>
      </c>
      <c r="G162" s="1" t="s">
        <v>33</v>
      </c>
      <c r="H162" s="1">
        <v>3</v>
      </c>
      <c r="I162" s="1">
        <v>59.99</v>
      </c>
      <c r="J162" s="1" t="s">
        <v>20</v>
      </c>
      <c r="K162" s="1" t="s">
        <v>21</v>
      </c>
      <c r="L162" s="1" t="s">
        <v>27</v>
      </c>
      <c r="M162" s="2">
        <v>45052</v>
      </c>
      <c r="N162" s="13">
        <f>data[[#This Row],[Quantity]]*data[[#This Row],[Unit_Price]]</f>
        <v>179.97</v>
      </c>
      <c r="O162" s="12">
        <f t="shared" ca="1" si="4"/>
        <v>3</v>
      </c>
      <c r="P162" s="10">
        <f t="shared" ca="1" si="5"/>
        <v>46308.73029861111</v>
      </c>
      <c r="Q162" s="11" t="str" cm="1">
        <f t="array" ref="Q162">_xlfn.TEXTJOIN("",TRUE,LEFT(_xlfn.TEXTSPLIT(data[[#This Row],[Customer_Name]]," "),1))</f>
        <v>JJ</v>
      </c>
      <c r="R162" s="24">
        <f>EOMONTH(data[[#This Row],[Date]],0)</f>
        <v>45657</v>
      </c>
      <c r="S162" s="11">
        <f>MONTH(data[[#This Row],[Date]])</f>
        <v>12</v>
      </c>
    </row>
    <row r="163" spans="1:19" ht="15" thickBot="1">
      <c r="A163" s="3" t="s">
        <v>306</v>
      </c>
      <c r="B163" s="2">
        <v>45635</v>
      </c>
      <c r="C163" s="1" t="s">
        <v>141</v>
      </c>
      <c r="D163" s="1" t="s">
        <v>142</v>
      </c>
      <c r="E163" s="1" t="s">
        <v>114</v>
      </c>
      <c r="F163" s="1" t="s">
        <v>115</v>
      </c>
      <c r="G163" s="1" t="s">
        <v>33</v>
      </c>
      <c r="H163" s="1">
        <v>4</v>
      </c>
      <c r="I163" s="1">
        <v>79.989999999999995</v>
      </c>
      <c r="J163" s="1" t="s">
        <v>57</v>
      </c>
      <c r="K163" s="1" t="s">
        <v>63</v>
      </c>
      <c r="L163" s="1" t="s">
        <v>36</v>
      </c>
      <c r="M163" s="2">
        <v>44921</v>
      </c>
      <c r="N163" s="13">
        <f>data[[#This Row],[Quantity]]*data[[#This Row],[Unit_Price]]</f>
        <v>319.95999999999998</v>
      </c>
      <c r="O163" s="12">
        <f t="shared" ca="1" si="4"/>
        <v>3</v>
      </c>
      <c r="P163" s="10">
        <f t="shared" ca="1" si="5"/>
        <v>46308.73029861111</v>
      </c>
      <c r="Q163" s="11" t="str" cm="1">
        <f t="array" ref="Q163">_xlfn.TEXTJOIN("",TRUE,LEFT(_xlfn.TEXTSPLIT(data[[#This Row],[Customer_Name]]," "),1))</f>
        <v>JT</v>
      </c>
      <c r="R163" s="24">
        <f>EOMONTH(data[[#This Row],[Date]],0)</f>
        <v>45657</v>
      </c>
      <c r="S163" s="11">
        <f>MONTH(data[[#This Row],[Date]])</f>
        <v>12</v>
      </c>
    </row>
    <row r="164" spans="1:19" ht="15" thickBot="1">
      <c r="A164" s="3" t="s">
        <v>307</v>
      </c>
      <c r="B164" s="2">
        <v>45636</v>
      </c>
      <c r="C164" s="1" t="s">
        <v>120</v>
      </c>
      <c r="D164" s="1" t="s">
        <v>121</v>
      </c>
      <c r="E164" s="1" t="s">
        <v>114</v>
      </c>
      <c r="F164" s="1" t="s">
        <v>115</v>
      </c>
      <c r="G164" s="1" t="s">
        <v>33</v>
      </c>
      <c r="H164" s="1">
        <v>3</v>
      </c>
      <c r="I164" s="1">
        <v>79.989999999999995</v>
      </c>
      <c r="J164" s="1" t="s">
        <v>57</v>
      </c>
      <c r="K164" s="1" t="s">
        <v>63</v>
      </c>
      <c r="L164" s="1" t="s">
        <v>36</v>
      </c>
      <c r="M164" s="2">
        <v>44779</v>
      </c>
      <c r="N164" s="13">
        <f>data[[#This Row],[Quantity]]*data[[#This Row],[Unit_Price]]</f>
        <v>239.96999999999997</v>
      </c>
      <c r="O164" s="12">
        <f t="shared" ca="1" si="4"/>
        <v>4</v>
      </c>
      <c r="P164" s="10">
        <f t="shared" ca="1" si="5"/>
        <v>46308.73029861111</v>
      </c>
      <c r="Q164" s="11" t="str" cm="1">
        <f t="array" ref="Q164">_xlfn.TEXTJOIN("",TRUE,LEFT(_xlfn.TEXTSPLIT(data[[#This Row],[Customer_Name]]," "),1))</f>
        <v>HR</v>
      </c>
      <c r="R164" s="24">
        <f>EOMONTH(data[[#This Row],[Date]],0)</f>
        <v>45657</v>
      </c>
      <c r="S164" s="11">
        <f>MONTH(data[[#This Row],[Date]])</f>
        <v>12</v>
      </c>
    </row>
    <row r="165" spans="1:19" ht="15" thickBot="1">
      <c r="A165" s="3" t="s">
        <v>308</v>
      </c>
      <c r="B165" s="2">
        <v>45638</v>
      </c>
      <c r="C165" s="1" t="s">
        <v>72</v>
      </c>
      <c r="D165" s="1" t="s">
        <v>73</v>
      </c>
      <c r="E165" s="1" t="s">
        <v>61</v>
      </c>
      <c r="F165" s="1" t="s">
        <v>62</v>
      </c>
      <c r="G165" s="1" t="s">
        <v>19</v>
      </c>
      <c r="H165" s="1">
        <v>2</v>
      </c>
      <c r="I165" s="1">
        <v>899.99</v>
      </c>
      <c r="J165" s="1" t="s">
        <v>20</v>
      </c>
      <c r="K165" s="1" t="s">
        <v>40</v>
      </c>
      <c r="L165" s="1" t="s">
        <v>22</v>
      </c>
      <c r="M165" s="2">
        <v>44406</v>
      </c>
      <c r="N165" s="13">
        <f>data[[#This Row],[Quantity]]*data[[#This Row],[Unit_Price]]</f>
        <v>1799.98</v>
      </c>
      <c r="O165" s="12">
        <f t="shared" ca="1" si="4"/>
        <v>5</v>
      </c>
      <c r="P165" s="10">
        <f t="shared" ca="1" si="5"/>
        <v>46308.73029861111</v>
      </c>
      <c r="Q165" s="11" t="str" cm="1">
        <f t="array" ref="Q165">_xlfn.TEXTJOIN("",TRUE,LEFT(_xlfn.TEXTSPLIT(data[[#This Row],[Customer_Name]]," "),1))</f>
        <v>PR</v>
      </c>
      <c r="R165" s="24">
        <f>EOMONTH(data[[#This Row],[Date]],0)</f>
        <v>45657</v>
      </c>
      <c r="S165" s="11">
        <f>MONTH(data[[#This Row],[Date]])</f>
        <v>12</v>
      </c>
    </row>
    <row r="166" spans="1:19" ht="15" thickBot="1">
      <c r="A166" s="3" t="s">
        <v>309</v>
      </c>
      <c r="B166" s="2">
        <v>45641</v>
      </c>
      <c r="C166" s="1" t="s">
        <v>182</v>
      </c>
      <c r="D166" s="1" t="s">
        <v>183</v>
      </c>
      <c r="E166" s="1" t="s">
        <v>44</v>
      </c>
      <c r="F166" s="1" t="s">
        <v>45</v>
      </c>
      <c r="G166" s="1" t="s">
        <v>46</v>
      </c>
      <c r="H166" s="1">
        <v>1</v>
      </c>
      <c r="I166" s="1">
        <v>149.99</v>
      </c>
      <c r="J166" s="1" t="s">
        <v>57</v>
      </c>
      <c r="K166" s="1" t="s">
        <v>63</v>
      </c>
      <c r="L166" s="1" t="s">
        <v>36</v>
      </c>
      <c r="M166" s="2">
        <v>45200</v>
      </c>
      <c r="N166" s="13">
        <f>data[[#This Row],[Quantity]]*data[[#This Row],[Unit_Price]]</f>
        <v>149.99</v>
      </c>
      <c r="O166" s="12">
        <f t="shared" ca="1" si="4"/>
        <v>3</v>
      </c>
      <c r="P166" s="10">
        <f t="shared" ca="1" si="5"/>
        <v>46308.73029861111</v>
      </c>
      <c r="Q166" s="11" t="str" cm="1">
        <f t="array" ref="Q166">_xlfn.TEXTJOIN("",TRUE,LEFT(_xlfn.TEXTSPLIT(data[[#This Row],[Customer_Name]]," "),1))</f>
        <v>DM</v>
      </c>
      <c r="R166" s="24">
        <f>EOMONTH(data[[#This Row],[Date]],0)</f>
        <v>45657</v>
      </c>
      <c r="S166" s="11">
        <f>MONTH(data[[#This Row],[Date]])</f>
        <v>12</v>
      </c>
    </row>
    <row r="167" spans="1:19" ht="15" thickBot="1">
      <c r="A167" s="3" t="s">
        <v>310</v>
      </c>
      <c r="B167" s="2">
        <v>45641</v>
      </c>
      <c r="C167" s="1" t="s">
        <v>138</v>
      </c>
      <c r="D167" s="1" t="s">
        <v>139</v>
      </c>
      <c r="E167" s="1" t="s">
        <v>105</v>
      </c>
      <c r="F167" s="1" t="s">
        <v>106</v>
      </c>
      <c r="G167" s="1" t="s">
        <v>46</v>
      </c>
      <c r="H167" s="1">
        <v>2</v>
      </c>
      <c r="I167" s="1">
        <v>299.99</v>
      </c>
      <c r="J167" s="1" t="s">
        <v>20</v>
      </c>
      <c r="K167" s="1" t="s">
        <v>63</v>
      </c>
      <c r="L167" s="1" t="s">
        <v>27</v>
      </c>
      <c r="M167" s="2">
        <v>44724</v>
      </c>
      <c r="N167" s="13">
        <f>data[[#This Row],[Quantity]]*data[[#This Row],[Unit_Price]]</f>
        <v>599.98</v>
      </c>
      <c r="O167" s="12">
        <f t="shared" ca="1" si="4"/>
        <v>4</v>
      </c>
      <c r="P167" s="10">
        <f t="shared" ca="1" si="5"/>
        <v>46308.73029861111</v>
      </c>
      <c r="Q167" s="11" t="str" cm="1">
        <f t="array" ref="Q167">_xlfn.TEXTJOIN("",TRUE,LEFT(_xlfn.TEXTSPLIT(data[[#This Row],[Customer_Name]]," "),1))</f>
        <v>ST</v>
      </c>
      <c r="R167" s="24">
        <f>EOMONTH(data[[#This Row],[Date]],0)</f>
        <v>45657</v>
      </c>
      <c r="S167" s="11">
        <f>MONTH(data[[#This Row],[Date]])</f>
        <v>12</v>
      </c>
    </row>
    <row r="168" spans="1:19" ht="15" thickBot="1">
      <c r="A168" s="3" t="s">
        <v>311</v>
      </c>
      <c r="B168" s="2">
        <v>45644</v>
      </c>
      <c r="C168" s="1" t="s">
        <v>132</v>
      </c>
      <c r="D168" s="1" t="s">
        <v>133</v>
      </c>
      <c r="E168" s="1" t="s">
        <v>31</v>
      </c>
      <c r="F168" s="1" t="s">
        <v>32</v>
      </c>
      <c r="G168" s="1" t="s">
        <v>33</v>
      </c>
      <c r="H168" s="1">
        <v>2</v>
      </c>
      <c r="I168" s="1">
        <v>59.99</v>
      </c>
      <c r="J168" s="1" t="s">
        <v>20</v>
      </c>
      <c r="K168" s="1" t="s">
        <v>50</v>
      </c>
      <c r="L168" s="1" t="s">
        <v>22</v>
      </c>
      <c r="M168" s="2">
        <v>45191</v>
      </c>
      <c r="N168" s="13">
        <f>data[[#This Row],[Quantity]]*data[[#This Row],[Unit_Price]]</f>
        <v>119.98</v>
      </c>
      <c r="O168" s="12">
        <f t="shared" ca="1" si="4"/>
        <v>3</v>
      </c>
      <c r="P168" s="10">
        <f t="shared" ca="1" si="5"/>
        <v>46308.73029861111</v>
      </c>
      <c r="Q168" s="11" t="str" cm="1">
        <f t="array" ref="Q168">_xlfn.TEXTJOIN("",TRUE,LEFT(_xlfn.TEXTSPLIT(data[[#This Row],[Customer_Name]]," "),1))</f>
        <v>EW</v>
      </c>
      <c r="R168" s="24">
        <f>EOMONTH(data[[#This Row],[Date]],0)</f>
        <v>45657</v>
      </c>
      <c r="S168" s="11">
        <f>MONTH(data[[#This Row],[Date]])</f>
        <v>12</v>
      </c>
    </row>
    <row r="169" spans="1:19" ht="15" thickBot="1">
      <c r="A169" s="3" t="s">
        <v>312</v>
      </c>
      <c r="B169" s="2">
        <v>45645</v>
      </c>
      <c r="C169" s="1" t="s">
        <v>182</v>
      </c>
      <c r="D169" s="1" t="s">
        <v>183</v>
      </c>
      <c r="E169" s="1" t="s">
        <v>117</v>
      </c>
      <c r="F169" s="1" t="s">
        <v>118</v>
      </c>
      <c r="G169" s="1" t="s">
        <v>19</v>
      </c>
      <c r="H169" s="1">
        <v>1</v>
      </c>
      <c r="I169" s="1">
        <v>89.99</v>
      </c>
      <c r="J169" s="1" t="s">
        <v>57</v>
      </c>
      <c r="K169" s="1" t="s">
        <v>21</v>
      </c>
      <c r="L169" s="1" t="s">
        <v>36</v>
      </c>
      <c r="M169" s="2">
        <v>44760</v>
      </c>
      <c r="N169" s="13">
        <f>data[[#This Row],[Quantity]]*data[[#This Row],[Unit_Price]]</f>
        <v>89.99</v>
      </c>
      <c r="O169" s="12">
        <f t="shared" ca="1" si="4"/>
        <v>4</v>
      </c>
      <c r="P169" s="10">
        <f t="shared" ca="1" si="5"/>
        <v>46308.73029861111</v>
      </c>
      <c r="Q169" s="11" t="str" cm="1">
        <f t="array" ref="Q169">_xlfn.TEXTJOIN("",TRUE,LEFT(_xlfn.TEXTSPLIT(data[[#This Row],[Customer_Name]]," "),1))</f>
        <v>DM</v>
      </c>
      <c r="R169" s="24">
        <f>EOMONTH(data[[#This Row],[Date]],0)</f>
        <v>45657</v>
      </c>
      <c r="S169" s="11">
        <f>MONTH(data[[#This Row],[Date]])</f>
        <v>12</v>
      </c>
    </row>
    <row r="170" spans="1:19" ht="15" thickBot="1">
      <c r="A170" s="3" t="s">
        <v>313</v>
      </c>
      <c r="B170" s="2">
        <v>45645</v>
      </c>
      <c r="C170" s="1" t="s">
        <v>147</v>
      </c>
      <c r="D170" s="1" t="s">
        <v>148</v>
      </c>
      <c r="E170" s="1" t="s">
        <v>61</v>
      </c>
      <c r="F170" s="1" t="s">
        <v>62</v>
      </c>
      <c r="G170" s="1" t="s">
        <v>19</v>
      </c>
      <c r="H170" s="1">
        <v>5</v>
      </c>
      <c r="I170" s="1">
        <v>899.99</v>
      </c>
      <c r="J170" s="1" t="s">
        <v>57</v>
      </c>
      <c r="K170" s="1" t="s">
        <v>63</v>
      </c>
      <c r="L170" s="1" t="s">
        <v>36</v>
      </c>
      <c r="M170" s="2">
        <v>44625</v>
      </c>
      <c r="N170" s="13">
        <f>data[[#This Row],[Quantity]]*data[[#This Row],[Unit_Price]]</f>
        <v>4499.95</v>
      </c>
      <c r="O170" s="12">
        <f t="shared" ca="1" si="4"/>
        <v>4</v>
      </c>
      <c r="P170" s="10">
        <f t="shared" ca="1" si="5"/>
        <v>46308.73029861111</v>
      </c>
      <c r="Q170" s="11" t="str" cm="1">
        <f t="array" ref="Q170">_xlfn.TEXTJOIN("",TRUE,LEFT(_xlfn.TEXTSPLIT(data[[#This Row],[Customer_Name]]," "),1))</f>
        <v>DK</v>
      </c>
      <c r="R170" s="24">
        <f>EOMONTH(data[[#This Row],[Date]],0)</f>
        <v>45657</v>
      </c>
      <c r="S170" s="11">
        <f>MONTH(data[[#This Row],[Date]])</f>
        <v>12</v>
      </c>
    </row>
    <row r="171" spans="1:19" ht="15" thickBot="1">
      <c r="A171" s="3" t="s">
        <v>314</v>
      </c>
      <c r="B171" s="2">
        <v>45646</v>
      </c>
      <c r="C171" s="1" t="s">
        <v>42</v>
      </c>
      <c r="D171" s="1" t="s">
        <v>43</v>
      </c>
      <c r="E171" s="1" t="s">
        <v>44</v>
      </c>
      <c r="F171" s="1" t="s">
        <v>45</v>
      </c>
      <c r="G171" s="1" t="s">
        <v>46</v>
      </c>
      <c r="H171" s="1">
        <v>2</v>
      </c>
      <c r="I171" s="1">
        <v>149.99</v>
      </c>
      <c r="J171" s="1" t="s">
        <v>20</v>
      </c>
      <c r="K171" s="1" t="s">
        <v>35</v>
      </c>
      <c r="L171" s="1" t="s">
        <v>22</v>
      </c>
      <c r="M171" s="2">
        <v>45239</v>
      </c>
      <c r="N171" s="13">
        <f>data[[#This Row],[Quantity]]*data[[#This Row],[Unit_Price]]</f>
        <v>299.98</v>
      </c>
      <c r="O171" s="12">
        <f t="shared" ca="1" si="4"/>
        <v>2</v>
      </c>
      <c r="P171" s="10">
        <f t="shared" ca="1" si="5"/>
        <v>46308.73029861111</v>
      </c>
      <c r="Q171" s="11" t="str" cm="1">
        <f t="array" ref="Q171">_xlfn.TEXTJOIN("",TRUE,LEFT(_xlfn.TEXTSPLIT(data[[#This Row],[Customer_Name]]," "),1))</f>
        <v>MB</v>
      </c>
      <c r="R171" s="24">
        <f>EOMONTH(data[[#This Row],[Date]],0)</f>
        <v>45657</v>
      </c>
      <c r="S171" s="11">
        <f>MONTH(data[[#This Row],[Date]])</f>
        <v>12</v>
      </c>
    </row>
    <row r="172" spans="1:19" ht="15" thickBot="1">
      <c r="A172" s="3" t="s">
        <v>315</v>
      </c>
      <c r="B172" s="2">
        <v>45648</v>
      </c>
      <c r="C172" s="1" t="s">
        <v>112</v>
      </c>
      <c r="D172" s="1" t="s">
        <v>113</v>
      </c>
      <c r="E172" s="1" t="s">
        <v>52</v>
      </c>
      <c r="F172" s="1" t="s">
        <v>53</v>
      </c>
      <c r="G172" s="1" t="s">
        <v>19</v>
      </c>
      <c r="H172" s="1">
        <v>2</v>
      </c>
      <c r="I172" s="1">
        <v>149.99</v>
      </c>
      <c r="J172" s="1" t="s">
        <v>57</v>
      </c>
      <c r="K172" s="1" t="s">
        <v>50</v>
      </c>
      <c r="L172" s="1" t="s">
        <v>27</v>
      </c>
      <c r="M172" s="2">
        <v>45280</v>
      </c>
      <c r="N172" s="13">
        <f>data[[#This Row],[Quantity]]*data[[#This Row],[Unit_Price]]</f>
        <v>299.98</v>
      </c>
      <c r="O172" s="12">
        <f t="shared" ca="1" si="4"/>
        <v>2</v>
      </c>
      <c r="P172" s="10">
        <f t="shared" ca="1" si="5"/>
        <v>46308.73029861111</v>
      </c>
      <c r="Q172" s="11" t="str" cm="1">
        <f t="array" ref="Q172">_xlfn.TEXTJOIN("",TRUE,LEFT(_xlfn.TEXTSPLIT(data[[#This Row],[Customer_Name]]," "),1))</f>
        <v>LM</v>
      </c>
      <c r="R172" s="24">
        <f>EOMONTH(data[[#This Row],[Date]],0)</f>
        <v>45657</v>
      </c>
      <c r="S172" s="11">
        <f>MONTH(data[[#This Row],[Date]])</f>
        <v>12</v>
      </c>
    </row>
    <row r="173" spans="1:19" ht="15" thickBot="1">
      <c r="A173" s="3" t="s">
        <v>316</v>
      </c>
      <c r="B173" s="2">
        <v>45648</v>
      </c>
      <c r="C173" s="1" t="s">
        <v>182</v>
      </c>
      <c r="D173" s="1" t="s">
        <v>183</v>
      </c>
      <c r="E173" s="1" t="s">
        <v>44</v>
      </c>
      <c r="F173" s="1" t="s">
        <v>45</v>
      </c>
      <c r="G173" s="1" t="s">
        <v>46</v>
      </c>
      <c r="H173" s="1">
        <v>3</v>
      </c>
      <c r="I173" s="1">
        <v>149.99</v>
      </c>
      <c r="J173" s="1" t="s">
        <v>57</v>
      </c>
      <c r="K173" s="1" t="s">
        <v>40</v>
      </c>
      <c r="L173" s="1" t="s">
        <v>36</v>
      </c>
      <c r="M173" s="2">
        <v>44522</v>
      </c>
      <c r="N173" s="13">
        <f>data[[#This Row],[Quantity]]*data[[#This Row],[Unit_Price]]</f>
        <v>449.97</v>
      </c>
      <c r="O173" s="12">
        <f t="shared" ca="1" si="4"/>
        <v>4</v>
      </c>
      <c r="P173" s="10">
        <f t="shared" ca="1" si="5"/>
        <v>46308.73029861111</v>
      </c>
      <c r="Q173" s="11" t="str" cm="1">
        <f t="array" ref="Q173">_xlfn.TEXTJOIN("",TRUE,LEFT(_xlfn.TEXTSPLIT(data[[#This Row],[Customer_Name]]," "),1))</f>
        <v>DM</v>
      </c>
      <c r="R173" s="24">
        <f>EOMONTH(data[[#This Row],[Date]],0)</f>
        <v>45657</v>
      </c>
      <c r="S173" s="11">
        <f>MONTH(data[[#This Row],[Date]])</f>
        <v>12</v>
      </c>
    </row>
    <row r="174" spans="1:19" ht="15" thickBot="1">
      <c r="A174" s="3" t="s">
        <v>317</v>
      </c>
      <c r="B174" s="2">
        <v>45649</v>
      </c>
      <c r="C174" s="1" t="s">
        <v>29</v>
      </c>
      <c r="D174" s="1" t="s">
        <v>30</v>
      </c>
      <c r="E174" s="1" t="s">
        <v>105</v>
      </c>
      <c r="F174" s="1" t="s">
        <v>106</v>
      </c>
      <c r="G174" s="1" t="s">
        <v>46</v>
      </c>
      <c r="H174" s="1">
        <v>2</v>
      </c>
      <c r="I174" s="1">
        <v>299.99</v>
      </c>
      <c r="J174" s="1" t="s">
        <v>34</v>
      </c>
      <c r="K174" s="1" t="s">
        <v>35</v>
      </c>
      <c r="L174" s="1" t="s">
        <v>22</v>
      </c>
      <c r="M174" s="2">
        <v>44721</v>
      </c>
      <c r="N174" s="13">
        <f>data[[#This Row],[Quantity]]*data[[#This Row],[Unit_Price]]</f>
        <v>599.98</v>
      </c>
      <c r="O174" s="12">
        <f t="shared" ca="1" si="4"/>
        <v>4</v>
      </c>
      <c r="P174" s="10">
        <f t="shared" ca="1" si="5"/>
        <v>46308.73029861111</v>
      </c>
      <c r="Q174" s="11" t="str" cm="1">
        <f t="array" ref="Q174">_xlfn.TEXTJOIN("",TRUE,LEFT(_xlfn.TEXTSPLIT(data[[#This Row],[Customer_Name]]," "),1))</f>
        <v>KS</v>
      </c>
      <c r="R174" s="24">
        <f>EOMONTH(data[[#This Row],[Date]],0)</f>
        <v>45657</v>
      </c>
      <c r="S174" s="11">
        <f>MONTH(data[[#This Row],[Date]])</f>
        <v>12</v>
      </c>
    </row>
    <row r="175" spans="1:19" ht="15" thickBot="1">
      <c r="A175" s="3" t="s">
        <v>318</v>
      </c>
      <c r="B175" s="2">
        <v>45654</v>
      </c>
      <c r="C175" s="1" t="s">
        <v>42</v>
      </c>
      <c r="D175" s="1" t="s">
        <v>43</v>
      </c>
      <c r="E175" s="1" t="s">
        <v>105</v>
      </c>
      <c r="F175" s="1" t="s">
        <v>106</v>
      </c>
      <c r="G175" s="1" t="s">
        <v>46</v>
      </c>
      <c r="H175" s="1">
        <v>2</v>
      </c>
      <c r="I175" s="1">
        <v>299.99</v>
      </c>
      <c r="J175" s="1" t="s">
        <v>20</v>
      </c>
      <c r="K175" s="1" t="s">
        <v>50</v>
      </c>
      <c r="L175" s="1" t="s">
        <v>22</v>
      </c>
      <c r="M175" s="2">
        <v>44771</v>
      </c>
      <c r="N175" s="13">
        <f>data[[#This Row],[Quantity]]*data[[#This Row],[Unit_Price]]</f>
        <v>599.98</v>
      </c>
      <c r="O175" s="12">
        <f t="shared" ca="1" si="4"/>
        <v>4</v>
      </c>
      <c r="P175" s="10">
        <f t="shared" ca="1" si="5"/>
        <v>46308.73029861111</v>
      </c>
      <c r="Q175" s="11" t="str" cm="1">
        <f t="array" ref="Q175">_xlfn.TEXTJOIN("",TRUE,LEFT(_xlfn.TEXTSPLIT(data[[#This Row],[Customer_Name]]," "),1))</f>
        <v>MB</v>
      </c>
      <c r="R175" s="24">
        <f>EOMONTH(data[[#This Row],[Date]],0)</f>
        <v>45657</v>
      </c>
      <c r="S175" s="11">
        <f>MONTH(data[[#This Row],[Date]])</f>
        <v>12</v>
      </c>
    </row>
    <row r="176" spans="1:19" ht="15" thickBot="1">
      <c r="A176" s="3" t="s">
        <v>319</v>
      </c>
      <c r="B176" s="2">
        <v>45654</v>
      </c>
      <c r="C176" s="1" t="s">
        <v>120</v>
      </c>
      <c r="D176" s="1" t="s">
        <v>121</v>
      </c>
      <c r="E176" s="1" t="s">
        <v>126</v>
      </c>
      <c r="F176" s="1" t="s">
        <v>127</v>
      </c>
      <c r="G176" s="1" t="s">
        <v>46</v>
      </c>
      <c r="H176" s="1">
        <v>4</v>
      </c>
      <c r="I176" s="1">
        <v>199.99</v>
      </c>
      <c r="J176" s="1" t="s">
        <v>26</v>
      </c>
      <c r="K176" s="1" t="s">
        <v>21</v>
      </c>
      <c r="L176" s="1" t="s">
        <v>22</v>
      </c>
      <c r="M176" s="2">
        <v>44523</v>
      </c>
      <c r="N176" s="13">
        <f>data[[#This Row],[Quantity]]*data[[#This Row],[Unit_Price]]</f>
        <v>799.96</v>
      </c>
      <c r="O176" s="12">
        <f t="shared" ca="1" si="4"/>
        <v>4</v>
      </c>
      <c r="P176" s="10">
        <f t="shared" ca="1" si="5"/>
        <v>46308.73029861111</v>
      </c>
      <c r="Q176" s="11" t="str" cm="1">
        <f t="array" ref="Q176">_xlfn.TEXTJOIN("",TRUE,LEFT(_xlfn.TEXTSPLIT(data[[#This Row],[Customer_Name]]," "),1))</f>
        <v>HR</v>
      </c>
      <c r="R176" s="24">
        <f>EOMONTH(data[[#This Row],[Date]],0)</f>
        <v>45657</v>
      </c>
      <c r="S176" s="11">
        <f>MONTH(data[[#This Row],[Date]])</f>
        <v>12</v>
      </c>
    </row>
    <row r="177" spans="1:19" ht="15" thickBot="1">
      <c r="A177" s="3" t="s">
        <v>320</v>
      </c>
      <c r="B177" s="2">
        <v>45655</v>
      </c>
      <c r="C177" s="1" t="s">
        <v>59</v>
      </c>
      <c r="D177" s="1" t="s">
        <v>60</v>
      </c>
      <c r="E177" s="1" t="s">
        <v>117</v>
      </c>
      <c r="F177" s="1" t="s">
        <v>118</v>
      </c>
      <c r="G177" s="1" t="s">
        <v>19</v>
      </c>
      <c r="H177" s="1">
        <v>1</v>
      </c>
      <c r="I177" s="1">
        <v>89.99</v>
      </c>
      <c r="J177" s="1" t="s">
        <v>26</v>
      </c>
      <c r="K177" s="1" t="s">
        <v>35</v>
      </c>
      <c r="L177" s="1" t="s">
        <v>27</v>
      </c>
      <c r="M177" s="2">
        <v>44591</v>
      </c>
      <c r="N177" s="13">
        <f>data[[#This Row],[Quantity]]*data[[#This Row],[Unit_Price]]</f>
        <v>89.99</v>
      </c>
      <c r="O177" s="12">
        <f t="shared" ca="1" si="4"/>
        <v>4</v>
      </c>
      <c r="P177" s="10">
        <f t="shared" ca="1" si="5"/>
        <v>46308.73029861111</v>
      </c>
      <c r="Q177" s="11" t="str" cm="1">
        <f t="array" ref="Q177">_xlfn.TEXTJOIN("",TRUE,LEFT(_xlfn.TEXTSPLIT(data[[#This Row],[Customer_Name]]," "),1))</f>
        <v>RT</v>
      </c>
      <c r="R177" s="24">
        <f>EOMONTH(data[[#This Row],[Date]],0)</f>
        <v>45657</v>
      </c>
      <c r="S177" s="11">
        <f>MONTH(data[[#This Row],[Date]])</f>
        <v>12</v>
      </c>
    </row>
    <row r="178" spans="1:19" ht="15" thickBot="1">
      <c r="A178" s="3" t="s">
        <v>321</v>
      </c>
      <c r="B178" s="2">
        <v>45655</v>
      </c>
      <c r="C178" s="1" t="s">
        <v>108</v>
      </c>
      <c r="D178" s="1" t="s">
        <v>109</v>
      </c>
      <c r="E178" s="1" t="s">
        <v>44</v>
      </c>
      <c r="F178" s="1" t="s">
        <v>45</v>
      </c>
      <c r="G178" s="1" t="s">
        <v>46</v>
      </c>
      <c r="H178" s="1">
        <v>5</v>
      </c>
      <c r="I178" s="1">
        <v>149.99</v>
      </c>
      <c r="J178" s="1" t="s">
        <v>20</v>
      </c>
      <c r="K178" s="1" t="s">
        <v>21</v>
      </c>
      <c r="L178" s="1" t="s">
        <v>27</v>
      </c>
      <c r="M178" s="2">
        <v>45347</v>
      </c>
      <c r="N178" s="13">
        <f>data[[#This Row],[Quantity]]*data[[#This Row],[Unit_Price]]</f>
        <v>749.95</v>
      </c>
      <c r="O178" s="12">
        <f t="shared" ca="1" si="4"/>
        <v>2</v>
      </c>
      <c r="P178" s="10">
        <f t="shared" ca="1" si="5"/>
        <v>46308.73029861111</v>
      </c>
      <c r="Q178" s="11" t="str" cm="1">
        <f t="array" ref="Q178">_xlfn.TEXTJOIN("",TRUE,LEFT(_xlfn.TEXTSPLIT(data[[#This Row],[Customer_Name]]," "),1))</f>
        <v>NC</v>
      </c>
      <c r="R178" s="24">
        <f>EOMONTH(data[[#This Row],[Date]],0)</f>
        <v>45657</v>
      </c>
      <c r="S178" s="11">
        <f>MONTH(data[[#This Row],[Date]])</f>
        <v>12</v>
      </c>
    </row>
    <row r="179" spans="1:19" ht="15" thickBot="1">
      <c r="A179" s="3" t="s">
        <v>322</v>
      </c>
      <c r="B179" s="2">
        <v>45657</v>
      </c>
      <c r="C179" s="1" t="s">
        <v>86</v>
      </c>
      <c r="D179" s="1" t="s">
        <v>87</v>
      </c>
      <c r="E179" s="1" t="s">
        <v>61</v>
      </c>
      <c r="F179" s="1" t="s">
        <v>62</v>
      </c>
      <c r="G179" s="1" t="s">
        <v>19</v>
      </c>
      <c r="H179" s="1">
        <v>1</v>
      </c>
      <c r="I179" s="1">
        <v>899.99</v>
      </c>
      <c r="J179" s="1" t="s">
        <v>34</v>
      </c>
      <c r="K179" s="1" t="s">
        <v>40</v>
      </c>
      <c r="L179" s="1" t="s">
        <v>27</v>
      </c>
      <c r="M179" s="2">
        <v>45050</v>
      </c>
      <c r="N179" s="13">
        <f>data[[#This Row],[Quantity]]*data[[#This Row],[Unit_Price]]</f>
        <v>899.99</v>
      </c>
      <c r="O179" s="12">
        <f t="shared" ca="1" si="4"/>
        <v>3</v>
      </c>
      <c r="P179" s="10">
        <f t="shared" ca="1" si="5"/>
        <v>46308.73029861111</v>
      </c>
      <c r="Q179" s="11" t="str" cm="1">
        <f t="array" ref="Q179">_xlfn.TEXTJOIN("",TRUE,LEFT(_xlfn.TEXTSPLIT(data[[#This Row],[Customer_Name]]," "),1))</f>
        <v>MC</v>
      </c>
      <c r="R179" s="24">
        <f>EOMONTH(data[[#This Row],[Date]],0)</f>
        <v>45657</v>
      </c>
      <c r="S179" s="11">
        <f>MONTH(data[[#This Row],[Date]])</f>
        <v>12</v>
      </c>
    </row>
    <row r="180" spans="1:19" ht="15" thickBot="1">
      <c r="A180" s="3" t="s">
        <v>323</v>
      </c>
      <c r="B180" s="2">
        <v>45660</v>
      </c>
      <c r="C180" s="1" t="s">
        <v>147</v>
      </c>
      <c r="D180" s="1" t="s">
        <v>148</v>
      </c>
      <c r="E180" s="1" t="s">
        <v>117</v>
      </c>
      <c r="F180" s="1" t="s">
        <v>118</v>
      </c>
      <c r="G180" s="1" t="s">
        <v>19</v>
      </c>
      <c r="H180" s="1">
        <v>2</v>
      </c>
      <c r="I180" s="1">
        <v>89.99</v>
      </c>
      <c r="J180" s="1" t="s">
        <v>26</v>
      </c>
      <c r="K180" s="1" t="s">
        <v>35</v>
      </c>
      <c r="L180" s="1" t="s">
        <v>27</v>
      </c>
      <c r="M180" s="2">
        <v>44564</v>
      </c>
      <c r="N180" s="13">
        <f>data[[#This Row],[Quantity]]*data[[#This Row],[Unit_Price]]</f>
        <v>179.98</v>
      </c>
      <c r="O180" s="12">
        <f t="shared" ca="1" si="4"/>
        <v>4</v>
      </c>
      <c r="P180" s="10">
        <f t="shared" ca="1" si="5"/>
        <v>46308.73029861111</v>
      </c>
      <c r="Q180" s="11" t="str" cm="1">
        <f t="array" ref="Q180">_xlfn.TEXTJOIN("",TRUE,LEFT(_xlfn.TEXTSPLIT(data[[#This Row],[Customer_Name]]," "),1))</f>
        <v>DK</v>
      </c>
      <c r="R180" s="24">
        <f>EOMONTH(data[[#This Row],[Date]],0)</f>
        <v>45688</v>
      </c>
      <c r="S180" s="11">
        <f>MONTH(data[[#This Row],[Date]])</f>
        <v>1</v>
      </c>
    </row>
    <row r="181" spans="1:19" ht="15" thickBot="1">
      <c r="A181" s="3" t="s">
        <v>324</v>
      </c>
      <c r="B181" s="2">
        <v>45661</v>
      </c>
      <c r="C181" s="1" t="s">
        <v>325</v>
      </c>
      <c r="D181" s="1" t="s">
        <v>326</v>
      </c>
      <c r="E181" s="1" t="s">
        <v>61</v>
      </c>
      <c r="F181" s="1" t="s">
        <v>62</v>
      </c>
      <c r="G181" s="1" t="s">
        <v>19</v>
      </c>
      <c r="H181" s="1">
        <v>1</v>
      </c>
      <c r="I181" s="1">
        <v>899.99</v>
      </c>
      <c r="J181" s="1" t="s">
        <v>34</v>
      </c>
      <c r="K181" s="1" t="s">
        <v>40</v>
      </c>
      <c r="L181" s="1" t="s">
        <v>36</v>
      </c>
      <c r="M181" s="2">
        <v>44752</v>
      </c>
      <c r="N181" s="13">
        <f>data[[#This Row],[Quantity]]*data[[#This Row],[Unit_Price]]</f>
        <v>899.99</v>
      </c>
      <c r="O181" s="12">
        <f t="shared" ca="1" si="4"/>
        <v>4</v>
      </c>
      <c r="P181" s="10">
        <f t="shared" ca="1" si="5"/>
        <v>46308.73029861111</v>
      </c>
      <c r="Q181" s="11" t="str" cm="1">
        <f t="array" ref="Q181">_xlfn.TEXTJOIN("",TRUE,LEFT(_xlfn.TEXTSPLIT(data[[#This Row],[Customer_Name]]," "),1))</f>
        <v>AE</v>
      </c>
      <c r="R181" s="24">
        <f>EOMONTH(data[[#This Row],[Date]],0)</f>
        <v>45688</v>
      </c>
      <c r="S181" s="11">
        <f>MONTH(data[[#This Row],[Date]])</f>
        <v>1</v>
      </c>
    </row>
    <row r="182" spans="1:19" ht="15" thickBot="1">
      <c r="A182" s="3" t="s">
        <v>327</v>
      </c>
      <c r="B182" s="2">
        <v>45663</v>
      </c>
      <c r="C182" s="1" t="s">
        <v>129</v>
      </c>
      <c r="D182" s="1" t="s">
        <v>130</v>
      </c>
      <c r="E182" s="1" t="s">
        <v>52</v>
      </c>
      <c r="F182" s="1" t="s">
        <v>53</v>
      </c>
      <c r="G182" s="1" t="s">
        <v>19</v>
      </c>
      <c r="H182" s="1">
        <v>5</v>
      </c>
      <c r="I182" s="1">
        <v>149.99</v>
      </c>
      <c r="J182" s="1" t="s">
        <v>34</v>
      </c>
      <c r="K182" s="1" t="s">
        <v>63</v>
      </c>
      <c r="L182" s="1" t="s">
        <v>27</v>
      </c>
      <c r="M182" s="2">
        <v>44824</v>
      </c>
      <c r="N182" s="13">
        <f>data[[#This Row],[Quantity]]*data[[#This Row],[Unit_Price]]</f>
        <v>749.95</v>
      </c>
      <c r="O182" s="12">
        <f t="shared" ca="1" si="4"/>
        <v>4</v>
      </c>
      <c r="P182" s="10">
        <f t="shared" ca="1" si="5"/>
        <v>46308.73029861111</v>
      </c>
      <c r="Q182" s="11" t="str" cm="1">
        <f t="array" ref="Q182">_xlfn.TEXTJOIN("",TRUE,LEFT(_xlfn.TEXTSPLIT(data[[#This Row],[Customer_Name]]," "),1))</f>
        <v>LA</v>
      </c>
      <c r="R182" s="24">
        <f>EOMONTH(data[[#This Row],[Date]],0)</f>
        <v>45688</v>
      </c>
      <c r="S182" s="11">
        <f>MONTH(data[[#This Row],[Date]])</f>
        <v>1</v>
      </c>
    </row>
    <row r="183" spans="1:19" ht="15" thickBot="1">
      <c r="A183" s="3" t="s">
        <v>328</v>
      </c>
      <c r="B183" s="2">
        <v>45663</v>
      </c>
      <c r="C183" s="1" t="s">
        <v>42</v>
      </c>
      <c r="D183" s="1" t="s">
        <v>43</v>
      </c>
      <c r="E183" s="1" t="s">
        <v>105</v>
      </c>
      <c r="F183" s="1" t="s">
        <v>106</v>
      </c>
      <c r="G183" s="1" t="s">
        <v>46</v>
      </c>
      <c r="H183" s="1">
        <v>3</v>
      </c>
      <c r="I183" s="1">
        <v>299.99</v>
      </c>
      <c r="J183" s="1" t="s">
        <v>20</v>
      </c>
      <c r="K183" s="1" t="s">
        <v>35</v>
      </c>
      <c r="L183" s="1" t="s">
        <v>36</v>
      </c>
      <c r="M183" s="2">
        <v>44422</v>
      </c>
      <c r="N183" s="13">
        <f>data[[#This Row],[Quantity]]*data[[#This Row],[Unit_Price]]</f>
        <v>899.97</v>
      </c>
      <c r="O183" s="12">
        <f t="shared" ca="1" si="4"/>
        <v>5</v>
      </c>
      <c r="P183" s="10">
        <f t="shared" ca="1" si="5"/>
        <v>46308.73029861111</v>
      </c>
      <c r="Q183" s="11" t="str" cm="1">
        <f t="array" ref="Q183">_xlfn.TEXTJOIN("",TRUE,LEFT(_xlfn.TEXTSPLIT(data[[#This Row],[Customer_Name]]," "),1))</f>
        <v>MB</v>
      </c>
      <c r="R183" s="24">
        <f>EOMONTH(data[[#This Row],[Date]],0)</f>
        <v>45688</v>
      </c>
      <c r="S183" s="11">
        <f>MONTH(data[[#This Row],[Date]])</f>
        <v>1</v>
      </c>
    </row>
    <row r="184" spans="1:19" ht="15" thickBot="1">
      <c r="A184" s="3" t="s">
        <v>329</v>
      </c>
      <c r="B184" s="2">
        <v>45666</v>
      </c>
      <c r="C184" s="1" t="s">
        <v>65</v>
      </c>
      <c r="D184" s="1" t="s">
        <v>66</v>
      </c>
      <c r="E184" s="1" t="s">
        <v>80</v>
      </c>
      <c r="F184" s="1" t="s">
        <v>81</v>
      </c>
      <c r="G184" s="1" t="s">
        <v>19</v>
      </c>
      <c r="H184" s="1">
        <v>3</v>
      </c>
      <c r="I184" s="1">
        <v>699.99</v>
      </c>
      <c r="J184" s="1" t="s">
        <v>26</v>
      </c>
      <c r="K184" s="1" t="s">
        <v>21</v>
      </c>
      <c r="L184" s="1" t="s">
        <v>27</v>
      </c>
      <c r="M184" s="2">
        <v>45105</v>
      </c>
      <c r="N184" s="13">
        <f>data[[#This Row],[Quantity]]*data[[#This Row],[Unit_Price]]</f>
        <v>2099.9700000000003</v>
      </c>
      <c r="O184" s="12">
        <f t="shared" ca="1" si="4"/>
        <v>3</v>
      </c>
      <c r="P184" s="10">
        <f t="shared" ca="1" si="5"/>
        <v>46308.73029861111</v>
      </c>
      <c r="Q184" s="11" t="str" cm="1">
        <f t="array" ref="Q184">_xlfn.TEXTJOIN("",TRUE,LEFT(_xlfn.TEXTSPLIT(data[[#This Row],[Customer_Name]]," "),1))</f>
        <v>KH</v>
      </c>
      <c r="R184" s="24">
        <f>EOMONTH(data[[#This Row],[Date]],0)</f>
        <v>45688</v>
      </c>
      <c r="S184" s="11">
        <f>MONTH(data[[#This Row],[Date]])</f>
        <v>1</v>
      </c>
    </row>
    <row r="185" spans="1:19" ht="15" thickBot="1">
      <c r="A185" s="3" t="s">
        <v>330</v>
      </c>
      <c r="B185" s="2">
        <v>45667</v>
      </c>
      <c r="C185" s="1" t="s">
        <v>108</v>
      </c>
      <c r="D185" s="1" t="s">
        <v>109</v>
      </c>
      <c r="E185" s="1" t="s">
        <v>126</v>
      </c>
      <c r="F185" s="1" t="s">
        <v>127</v>
      </c>
      <c r="G185" s="1" t="s">
        <v>46</v>
      </c>
      <c r="H185" s="1">
        <v>5</v>
      </c>
      <c r="I185" s="1">
        <v>199.99</v>
      </c>
      <c r="J185" s="1" t="s">
        <v>34</v>
      </c>
      <c r="K185" s="1" t="s">
        <v>21</v>
      </c>
      <c r="L185" s="1" t="s">
        <v>36</v>
      </c>
      <c r="M185" s="2">
        <v>44633</v>
      </c>
      <c r="N185" s="13">
        <f>data[[#This Row],[Quantity]]*data[[#This Row],[Unit_Price]]</f>
        <v>999.95</v>
      </c>
      <c r="O185" s="12">
        <f t="shared" ca="1" si="4"/>
        <v>4</v>
      </c>
      <c r="P185" s="10">
        <f t="shared" ca="1" si="5"/>
        <v>46308.73029861111</v>
      </c>
      <c r="Q185" s="11" t="str" cm="1">
        <f t="array" ref="Q185">_xlfn.TEXTJOIN("",TRUE,LEFT(_xlfn.TEXTSPLIT(data[[#This Row],[Customer_Name]]," "),1))</f>
        <v>NC</v>
      </c>
      <c r="R185" s="24">
        <f>EOMONTH(data[[#This Row],[Date]],0)</f>
        <v>45688</v>
      </c>
      <c r="S185" s="11">
        <f>MONTH(data[[#This Row],[Date]])</f>
        <v>1</v>
      </c>
    </row>
    <row r="186" spans="1:19" ht="15" thickBot="1">
      <c r="A186" s="3" t="s">
        <v>331</v>
      </c>
      <c r="B186" s="2">
        <v>45667</v>
      </c>
      <c r="C186" s="1" t="s">
        <v>93</v>
      </c>
      <c r="D186" s="1" t="s">
        <v>94</v>
      </c>
      <c r="E186" s="1" t="s">
        <v>17</v>
      </c>
      <c r="F186" s="1" t="s">
        <v>18</v>
      </c>
      <c r="G186" s="1" t="s">
        <v>19</v>
      </c>
      <c r="H186" s="1">
        <v>5</v>
      </c>
      <c r="I186" s="1">
        <v>249.99</v>
      </c>
      <c r="J186" s="1" t="s">
        <v>26</v>
      </c>
      <c r="K186" s="1" t="s">
        <v>35</v>
      </c>
      <c r="L186" s="1" t="s">
        <v>22</v>
      </c>
      <c r="M186" s="2">
        <v>45330</v>
      </c>
      <c r="N186" s="13">
        <f>data[[#This Row],[Quantity]]*data[[#This Row],[Unit_Price]]</f>
        <v>1249.95</v>
      </c>
      <c r="O186" s="12">
        <f t="shared" ca="1" si="4"/>
        <v>2</v>
      </c>
      <c r="P186" s="10">
        <f t="shared" ca="1" si="5"/>
        <v>46308.73029861111</v>
      </c>
      <c r="Q186" s="11" t="str" cm="1">
        <f t="array" ref="Q186">_xlfn.TEXTJOIN("",TRUE,LEFT(_xlfn.TEXTSPLIT(data[[#This Row],[Customer_Name]]," "),1))</f>
        <v>VS</v>
      </c>
      <c r="R186" s="24">
        <f>EOMONTH(data[[#This Row],[Date]],0)</f>
        <v>45688</v>
      </c>
      <c r="S186" s="11">
        <f>MONTH(data[[#This Row],[Date]])</f>
        <v>1</v>
      </c>
    </row>
    <row r="187" spans="1:19" ht="15" thickBot="1">
      <c r="A187" s="3" t="s">
        <v>332</v>
      </c>
      <c r="B187" s="2">
        <v>45668</v>
      </c>
      <c r="C187" s="1" t="s">
        <v>138</v>
      </c>
      <c r="D187" s="1" t="s">
        <v>139</v>
      </c>
      <c r="E187" s="1" t="s">
        <v>52</v>
      </c>
      <c r="F187" s="1" t="s">
        <v>53</v>
      </c>
      <c r="G187" s="1" t="s">
        <v>19</v>
      </c>
      <c r="H187" s="1">
        <v>4</v>
      </c>
      <c r="I187" s="1">
        <v>149.99</v>
      </c>
      <c r="J187" s="1" t="s">
        <v>57</v>
      </c>
      <c r="K187" s="1" t="s">
        <v>63</v>
      </c>
      <c r="L187" s="1" t="s">
        <v>36</v>
      </c>
      <c r="M187" s="2">
        <v>44536</v>
      </c>
      <c r="N187" s="13">
        <f>data[[#This Row],[Quantity]]*data[[#This Row],[Unit_Price]]</f>
        <v>599.96</v>
      </c>
      <c r="O187" s="12">
        <f t="shared" ca="1" si="4"/>
        <v>4</v>
      </c>
      <c r="P187" s="10">
        <f t="shared" ca="1" si="5"/>
        <v>46308.73029861111</v>
      </c>
      <c r="Q187" s="11" t="str" cm="1">
        <f t="array" ref="Q187">_xlfn.TEXTJOIN("",TRUE,LEFT(_xlfn.TEXTSPLIT(data[[#This Row],[Customer_Name]]," "),1))</f>
        <v>ST</v>
      </c>
      <c r="R187" s="24">
        <f>EOMONTH(data[[#This Row],[Date]],0)</f>
        <v>45688</v>
      </c>
      <c r="S187" s="11">
        <f>MONTH(data[[#This Row],[Date]])</f>
        <v>1</v>
      </c>
    </row>
    <row r="188" spans="1:19" ht="15" thickBot="1">
      <c r="A188" s="3" t="s">
        <v>333</v>
      </c>
      <c r="B188" s="2">
        <v>45668</v>
      </c>
      <c r="C188" s="1" t="s">
        <v>78</v>
      </c>
      <c r="D188" s="1" t="s">
        <v>79</v>
      </c>
      <c r="E188" s="1" t="s">
        <v>80</v>
      </c>
      <c r="F188" s="1" t="s">
        <v>81</v>
      </c>
      <c r="G188" s="1" t="s">
        <v>19</v>
      </c>
      <c r="H188" s="1">
        <v>3</v>
      </c>
      <c r="I188" s="1">
        <v>699.99</v>
      </c>
      <c r="J188" s="1" t="s">
        <v>20</v>
      </c>
      <c r="K188" s="1" t="s">
        <v>40</v>
      </c>
      <c r="L188" s="1" t="s">
        <v>27</v>
      </c>
      <c r="M188" s="2">
        <v>44602</v>
      </c>
      <c r="N188" s="13">
        <f>data[[#This Row],[Quantity]]*data[[#This Row],[Unit_Price]]</f>
        <v>2099.9700000000003</v>
      </c>
      <c r="O188" s="12">
        <f t="shared" ca="1" si="4"/>
        <v>4</v>
      </c>
      <c r="P188" s="10">
        <f t="shared" ca="1" si="5"/>
        <v>46308.73029861111</v>
      </c>
      <c r="Q188" s="11" t="str" cm="1">
        <f t="array" ref="Q188">_xlfn.TEXTJOIN("",TRUE,LEFT(_xlfn.TEXTSPLIT(data[[#This Row],[Customer_Name]]," "),1))</f>
        <v>MR</v>
      </c>
      <c r="R188" s="24">
        <f>EOMONTH(data[[#This Row],[Date]],0)</f>
        <v>45688</v>
      </c>
      <c r="S188" s="11">
        <f>MONTH(data[[#This Row],[Date]])</f>
        <v>1</v>
      </c>
    </row>
    <row r="189" spans="1:19" ht="15" thickBot="1">
      <c r="A189" s="3" t="s">
        <v>334</v>
      </c>
      <c r="B189" s="2">
        <v>45670</v>
      </c>
      <c r="C189" s="1" t="s">
        <v>293</v>
      </c>
      <c r="D189" s="1" t="s">
        <v>294</v>
      </c>
      <c r="E189" s="1" t="s">
        <v>114</v>
      </c>
      <c r="F189" s="1" t="s">
        <v>115</v>
      </c>
      <c r="G189" s="1" t="s">
        <v>33</v>
      </c>
      <c r="H189" s="1">
        <v>1</v>
      </c>
      <c r="I189" s="1">
        <v>79.989999999999995</v>
      </c>
      <c r="J189" s="1" t="s">
        <v>26</v>
      </c>
      <c r="K189" s="1" t="s">
        <v>35</v>
      </c>
      <c r="L189" s="1" t="s">
        <v>22</v>
      </c>
      <c r="M189" s="2">
        <v>45322</v>
      </c>
      <c r="N189" s="13">
        <f>data[[#This Row],[Quantity]]*data[[#This Row],[Unit_Price]]</f>
        <v>79.989999999999995</v>
      </c>
      <c r="O189" s="12">
        <f t="shared" ca="1" si="4"/>
        <v>2</v>
      </c>
      <c r="P189" s="10">
        <f t="shared" ca="1" si="5"/>
        <v>46308.73029861111</v>
      </c>
      <c r="Q189" s="11" t="str" cm="1">
        <f t="array" ref="Q189">_xlfn.TEXTJOIN("",TRUE,LEFT(_xlfn.TEXTSPLIT(data[[#This Row],[Customer_Name]]," "),1))</f>
        <v>DW</v>
      </c>
      <c r="R189" s="24">
        <f>EOMONTH(data[[#This Row],[Date]],0)</f>
        <v>45688</v>
      </c>
      <c r="S189" s="11">
        <f>MONTH(data[[#This Row],[Date]])</f>
        <v>1</v>
      </c>
    </row>
    <row r="190" spans="1:19" ht="15" thickBot="1">
      <c r="A190" s="3" t="s">
        <v>335</v>
      </c>
      <c r="B190" s="2">
        <v>45670</v>
      </c>
      <c r="C190" s="1" t="s">
        <v>86</v>
      </c>
      <c r="D190" s="1" t="s">
        <v>87</v>
      </c>
      <c r="E190" s="1" t="s">
        <v>105</v>
      </c>
      <c r="F190" s="1" t="s">
        <v>106</v>
      </c>
      <c r="G190" s="1" t="s">
        <v>46</v>
      </c>
      <c r="H190" s="1">
        <v>1</v>
      </c>
      <c r="I190" s="1">
        <v>299.99</v>
      </c>
      <c r="J190" s="1" t="s">
        <v>26</v>
      </c>
      <c r="K190" s="1" t="s">
        <v>40</v>
      </c>
      <c r="L190" s="1" t="s">
        <v>22</v>
      </c>
      <c r="M190" s="2">
        <v>44436</v>
      </c>
      <c r="N190" s="13">
        <f>data[[#This Row],[Quantity]]*data[[#This Row],[Unit_Price]]</f>
        <v>299.99</v>
      </c>
      <c r="O190" s="12">
        <f t="shared" ca="1" si="4"/>
        <v>5</v>
      </c>
      <c r="P190" s="10">
        <f t="shared" ca="1" si="5"/>
        <v>46308.73029861111</v>
      </c>
      <c r="Q190" s="11" t="str" cm="1">
        <f t="array" ref="Q190">_xlfn.TEXTJOIN("",TRUE,LEFT(_xlfn.TEXTSPLIT(data[[#This Row],[Customer_Name]]," "),1))</f>
        <v>MC</v>
      </c>
      <c r="R190" s="24">
        <f>EOMONTH(data[[#This Row],[Date]],0)</f>
        <v>45688</v>
      </c>
      <c r="S190" s="11">
        <f>MONTH(data[[#This Row],[Date]])</f>
        <v>1</v>
      </c>
    </row>
    <row r="191" spans="1:19" ht="15" thickBot="1">
      <c r="A191" s="3" t="s">
        <v>336</v>
      </c>
      <c r="B191" s="2">
        <v>45671</v>
      </c>
      <c r="C191" s="1" t="s">
        <v>158</v>
      </c>
      <c r="D191" s="1" t="s">
        <v>159</v>
      </c>
      <c r="E191" s="1" t="s">
        <v>17</v>
      </c>
      <c r="F191" s="1" t="s">
        <v>18</v>
      </c>
      <c r="G191" s="1" t="s">
        <v>19</v>
      </c>
      <c r="H191" s="1">
        <v>4</v>
      </c>
      <c r="I191" s="1">
        <v>249.99</v>
      </c>
      <c r="J191" s="1" t="s">
        <v>26</v>
      </c>
      <c r="K191" s="1" t="s">
        <v>40</v>
      </c>
      <c r="L191" s="1" t="s">
        <v>27</v>
      </c>
      <c r="M191" s="2">
        <v>44460</v>
      </c>
      <c r="N191" s="13">
        <f>data[[#This Row],[Quantity]]*data[[#This Row],[Unit_Price]]</f>
        <v>999.96</v>
      </c>
      <c r="O191" s="12">
        <f t="shared" ca="1" si="4"/>
        <v>5</v>
      </c>
      <c r="P191" s="10">
        <f t="shared" ca="1" si="5"/>
        <v>46308.73029861111</v>
      </c>
      <c r="Q191" s="11" t="str" cm="1">
        <f t="array" ref="Q191">_xlfn.TEXTJOIN("",TRUE,LEFT(_xlfn.TEXTSPLIT(data[[#This Row],[Customer_Name]]," "),1))</f>
        <v>BC</v>
      </c>
      <c r="R191" s="24">
        <f>EOMONTH(data[[#This Row],[Date]],0)</f>
        <v>45688</v>
      </c>
      <c r="S191" s="11">
        <f>MONTH(data[[#This Row],[Date]])</f>
        <v>1</v>
      </c>
    </row>
    <row r="192" spans="1:19" ht="15" thickBot="1">
      <c r="A192" s="3" t="s">
        <v>337</v>
      </c>
      <c r="B192" s="2">
        <v>45671</v>
      </c>
      <c r="C192" s="1" t="s">
        <v>120</v>
      </c>
      <c r="D192" s="1" t="s">
        <v>121</v>
      </c>
      <c r="E192" s="1" t="s">
        <v>52</v>
      </c>
      <c r="F192" s="1" t="s">
        <v>53</v>
      </c>
      <c r="G192" s="1" t="s">
        <v>19</v>
      </c>
      <c r="H192" s="1">
        <v>2</v>
      </c>
      <c r="I192" s="1">
        <v>149.99</v>
      </c>
      <c r="J192" s="1" t="s">
        <v>20</v>
      </c>
      <c r="K192" s="1" t="s">
        <v>40</v>
      </c>
      <c r="L192" s="1" t="s">
        <v>36</v>
      </c>
      <c r="M192" s="2">
        <v>44913</v>
      </c>
      <c r="N192" s="13">
        <f>data[[#This Row],[Quantity]]*data[[#This Row],[Unit_Price]]</f>
        <v>299.98</v>
      </c>
      <c r="O192" s="12">
        <f t="shared" ca="1" si="4"/>
        <v>3</v>
      </c>
      <c r="P192" s="10">
        <f t="shared" ca="1" si="5"/>
        <v>46308.73029861111</v>
      </c>
      <c r="Q192" s="11" t="str" cm="1">
        <f t="array" ref="Q192">_xlfn.TEXTJOIN("",TRUE,LEFT(_xlfn.TEXTSPLIT(data[[#This Row],[Customer_Name]]," "),1))</f>
        <v>HR</v>
      </c>
      <c r="R192" s="24">
        <f>EOMONTH(data[[#This Row],[Date]],0)</f>
        <v>45688</v>
      </c>
      <c r="S192" s="11">
        <f>MONTH(data[[#This Row],[Date]])</f>
        <v>1</v>
      </c>
    </row>
    <row r="193" spans="1:19" ht="15" thickBot="1">
      <c r="A193" s="3" t="s">
        <v>338</v>
      </c>
      <c r="B193" s="2">
        <v>45671</v>
      </c>
      <c r="C193" s="1" t="s">
        <v>234</v>
      </c>
      <c r="D193" s="1" t="s">
        <v>235</v>
      </c>
      <c r="E193" s="1" t="s">
        <v>105</v>
      </c>
      <c r="F193" s="1" t="s">
        <v>106</v>
      </c>
      <c r="G193" s="1" t="s">
        <v>46</v>
      </c>
      <c r="H193" s="1">
        <v>3</v>
      </c>
      <c r="I193" s="1">
        <v>299.99</v>
      </c>
      <c r="J193" s="1" t="s">
        <v>26</v>
      </c>
      <c r="K193" s="1" t="s">
        <v>35</v>
      </c>
      <c r="L193" s="1" t="s">
        <v>22</v>
      </c>
      <c r="M193" s="2">
        <v>45204</v>
      </c>
      <c r="N193" s="13">
        <f>data[[#This Row],[Quantity]]*data[[#This Row],[Unit_Price]]</f>
        <v>899.97</v>
      </c>
      <c r="O193" s="12">
        <f t="shared" ca="1" si="4"/>
        <v>3</v>
      </c>
      <c r="P193" s="10">
        <f t="shared" ca="1" si="5"/>
        <v>46308.73029861111</v>
      </c>
      <c r="Q193" s="11" t="str" cm="1">
        <f t="array" ref="Q193">_xlfn.TEXTJOIN("",TRUE,LEFT(_xlfn.TEXTSPLIT(data[[#This Row],[Customer_Name]]," "),1))</f>
        <v>SP</v>
      </c>
      <c r="R193" s="24">
        <f>EOMONTH(data[[#This Row],[Date]],0)</f>
        <v>45688</v>
      </c>
      <c r="S193" s="11">
        <f>MONTH(data[[#This Row],[Date]])</f>
        <v>1</v>
      </c>
    </row>
    <row r="194" spans="1:19" ht="15" thickBot="1">
      <c r="A194" s="3" t="s">
        <v>339</v>
      </c>
      <c r="B194" s="2">
        <v>45673</v>
      </c>
      <c r="C194" s="1" t="s">
        <v>226</v>
      </c>
      <c r="D194" s="1" t="s">
        <v>227</v>
      </c>
      <c r="E194" s="1" t="s">
        <v>126</v>
      </c>
      <c r="F194" s="1" t="s">
        <v>127</v>
      </c>
      <c r="G194" s="1" t="s">
        <v>46</v>
      </c>
      <c r="H194" s="1">
        <v>4</v>
      </c>
      <c r="I194" s="1">
        <v>199.99</v>
      </c>
      <c r="J194" s="1" t="s">
        <v>57</v>
      </c>
      <c r="K194" s="1" t="s">
        <v>35</v>
      </c>
      <c r="L194" s="1" t="s">
        <v>36</v>
      </c>
      <c r="M194" s="2">
        <v>44544</v>
      </c>
      <c r="N194" s="13">
        <f>data[[#This Row],[Quantity]]*data[[#This Row],[Unit_Price]]</f>
        <v>799.96</v>
      </c>
      <c r="O194" s="12">
        <f t="shared" ref="O194:O251" ca="1" si="6">DATEDIF(M194,TODAY(),"Y")</f>
        <v>4</v>
      </c>
      <c r="P194" s="10">
        <f t="shared" ref="P194:P251" ca="1" si="7">NOW()</f>
        <v>46308.73029861111</v>
      </c>
      <c r="Q194" s="11" t="str" cm="1">
        <f t="array" ref="Q194">_xlfn.TEXTJOIN("",TRUE,LEFT(_xlfn.TEXTSPLIT(data[[#This Row],[Customer_Name]]," "),1))</f>
        <v>LR</v>
      </c>
      <c r="R194" s="24">
        <f>EOMONTH(data[[#This Row],[Date]],0)</f>
        <v>45688</v>
      </c>
      <c r="S194" s="11">
        <f>MONTH(data[[#This Row],[Date]])</f>
        <v>1</v>
      </c>
    </row>
    <row r="195" spans="1:19" ht="15" thickBot="1">
      <c r="A195" s="3" t="s">
        <v>340</v>
      </c>
      <c r="B195" s="2">
        <v>45673</v>
      </c>
      <c r="C195" s="1" t="s">
        <v>211</v>
      </c>
      <c r="D195" s="1" t="s">
        <v>212</v>
      </c>
      <c r="E195" s="1" t="s">
        <v>105</v>
      </c>
      <c r="F195" s="1" t="s">
        <v>106</v>
      </c>
      <c r="G195" s="1" t="s">
        <v>46</v>
      </c>
      <c r="H195" s="1">
        <v>5</v>
      </c>
      <c r="I195" s="1">
        <v>299.99</v>
      </c>
      <c r="J195" s="1" t="s">
        <v>57</v>
      </c>
      <c r="K195" s="1" t="s">
        <v>21</v>
      </c>
      <c r="L195" s="1" t="s">
        <v>22</v>
      </c>
      <c r="M195" s="2">
        <v>44431</v>
      </c>
      <c r="N195" s="13">
        <f>data[[#This Row],[Quantity]]*data[[#This Row],[Unit_Price]]</f>
        <v>1499.95</v>
      </c>
      <c r="O195" s="12">
        <f t="shared" ca="1" si="6"/>
        <v>5</v>
      </c>
      <c r="P195" s="10">
        <f t="shared" ca="1" si="7"/>
        <v>46308.73029861111</v>
      </c>
      <c r="Q195" s="11" t="str" cm="1">
        <f t="array" ref="Q195">_xlfn.TEXTJOIN("",TRUE,LEFT(_xlfn.TEXTSPLIT(data[[#This Row],[Customer_Name]]," "),1))</f>
        <v>EH</v>
      </c>
      <c r="R195" s="24">
        <f>EOMONTH(data[[#This Row],[Date]],0)</f>
        <v>45688</v>
      </c>
      <c r="S195" s="11">
        <f>MONTH(data[[#This Row],[Date]])</f>
        <v>1</v>
      </c>
    </row>
    <row r="196" spans="1:19" ht="15" thickBot="1">
      <c r="A196" s="3" t="s">
        <v>341</v>
      </c>
      <c r="B196" s="2">
        <v>45673</v>
      </c>
      <c r="C196" s="1" t="s">
        <v>59</v>
      </c>
      <c r="D196" s="1" t="s">
        <v>60</v>
      </c>
      <c r="E196" s="1" t="s">
        <v>44</v>
      </c>
      <c r="F196" s="1" t="s">
        <v>45</v>
      </c>
      <c r="G196" s="1" t="s">
        <v>46</v>
      </c>
      <c r="H196" s="1">
        <v>3</v>
      </c>
      <c r="I196" s="1">
        <v>149.99</v>
      </c>
      <c r="J196" s="1" t="s">
        <v>26</v>
      </c>
      <c r="K196" s="1" t="s">
        <v>63</v>
      </c>
      <c r="L196" s="1" t="s">
        <v>36</v>
      </c>
      <c r="M196" s="2">
        <v>44395</v>
      </c>
      <c r="N196" s="13">
        <f>data[[#This Row],[Quantity]]*data[[#This Row],[Unit_Price]]</f>
        <v>449.97</v>
      </c>
      <c r="O196" s="12">
        <f t="shared" ca="1" si="6"/>
        <v>5</v>
      </c>
      <c r="P196" s="10">
        <f t="shared" ca="1" si="7"/>
        <v>46308.73029861111</v>
      </c>
      <c r="Q196" s="11" t="str" cm="1">
        <f t="array" ref="Q196">_xlfn.TEXTJOIN("",TRUE,LEFT(_xlfn.TEXTSPLIT(data[[#This Row],[Customer_Name]]," "),1))</f>
        <v>RT</v>
      </c>
      <c r="R196" s="24">
        <f>EOMONTH(data[[#This Row],[Date]],0)</f>
        <v>45688</v>
      </c>
      <c r="S196" s="11">
        <f>MONTH(data[[#This Row],[Date]])</f>
        <v>1</v>
      </c>
    </row>
    <row r="197" spans="1:19" ht="15" thickBot="1">
      <c r="A197" s="3" t="s">
        <v>342</v>
      </c>
      <c r="B197" s="2">
        <v>45676</v>
      </c>
      <c r="C197" s="1" t="s">
        <v>129</v>
      </c>
      <c r="D197" s="1" t="s">
        <v>130</v>
      </c>
      <c r="E197" s="1" t="s">
        <v>31</v>
      </c>
      <c r="F197" s="1" t="s">
        <v>32</v>
      </c>
      <c r="G197" s="1" t="s">
        <v>33</v>
      </c>
      <c r="H197" s="1">
        <v>5</v>
      </c>
      <c r="I197" s="1">
        <v>59.99</v>
      </c>
      <c r="J197" s="1" t="s">
        <v>57</v>
      </c>
      <c r="K197" s="1" t="s">
        <v>63</v>
      </c>
      <c r="L197" s="1" t="s">
        <v>22</v>
      </c>
      <c r="M197" s="2">
        <v>44642</v>
      </c>
      <c r="N197" s="13">
        <f>data[[#This Row],[Quantity]]*data[[#This Row],[Unit_Price]]</f>
        <v>299.95</v>
      </c>
      <c r="O197" s="12">
        <f t="shared" ca="1" si="6"/>
        <v>4</v>
      </c>
      <c r="P197" s="10">
        <f t="shared" ca="1" si="7"/>
        <v>46308.73029861111</v>
      </c>
      <c r="Q197" s="11" t="str" cm="1">
        <f t="array" ref="Q197">_xlfn.TEXTJOIN("",TRUE,LEFT(_xlfn.TEXTSPLIT(data[[#This Row],[Customer_Name]]," "),1))</f>
        <v>LA</v>
      </c>
      <c r="R197" s="24">
        <f>EOMONTH(data[[#This Row],[Date]],0)</f>
        <v>45688</v>
      </c>
      <c r="S197" s="11">
        <f>MONTH(data[[#This Row],[Date]])</f>
        <v>1</v>
      </c>
    </row>
    <row r="198" spans="1:19" ht="15" thickBot="1">
      <c r="A198" s="3" t="s">
        <v>343</v>
      </c>
      <c r="B198" s="2">
        <v>45682</v>
      </c>
      <c r="C198" s="1" t="s">
        <v>68</v>
      </c>
      <c r="D198" s="1" t="s">
        <v>69</v>
      </c>
      <c r="E198" s="1" t="s">
        <v>31</v>
      </c>
      <c r="F198" s="1" t="s">
        <v>32</v>
      </c>
      <c r="G198" s="1" t="s">
        <v>33</v>
      </c>
      <c r="H198" s="1">
        <v>4</v>
      </c>
      <c r="I198" s="1">
        <v>59.99</v>
      </c>
      <c r="J198" s="1" t="s">
        <v>57</v>
      </c>
      <c r="K198" s="1" t="s">
        <v>63</v>
      </c>
      <c r="L198" s="1" t="s">
        <v>36</v>
      </c>
      <c r="M198" s="2">
        <v>44564</v>
      </c>
      <c r="N198" s="13">
        <f>data[[#This Row],[Quantity]]*data[[#This Row],[Unit_Price]]</f>
        <v>239.96</v>
      </c>
      <c r="O198" s="12">
        <f t="shared" ca="1" si="6"/>
        <v>4</v>
      </c>
      <c r="P198" s="10">
        <f t="shared" ca="1" si="7"/>
        <v>46308.73029861111</v>
      </c>
      <c r="Q198" s="11" t="str" cm="1">
        <f t="array" ref="Q198">_xlfn.TEXTJOIN("",TRUE,LEFT(_xlfn.TEXTSPLIT(data[[#This Row],[Customer_Name]]," "),1))</f>
        <v>SG</v>
      </c>
      <c r="R198" s="24">
        <f>EOMONTH(data[[#This Row],[Date]],0)</f>
        <v>45688</v>
      </c>
      <c r="S198" s="11">
        <f>MONTH(data[[#This Row],[Date]])</f>
        <v>1</v>
      </c>
    </row>
    <row r="199" spans="1:19" ht="15" thickBot="1">
      <c r="A199" s="3" t="s">
        <v>344</v>
      </c>
      <c r="B199" s="2">
        <v>45683</v>
      </c>
      <c r="C199" s="1" t="s">
        <v>48</v>
      </c>
      <c r="D199" s="1" t="s">
        <v>49</v>
      </c>
      <c r="E199" s="1" t="s">
        <v>17</v>
      </c>
      <c r="F199" s="1" t="s">
        <v>18</v>
      </c>
      <c r="G199" s="1" t="s">
        <v>19</v>
      </c>
      <c r="H199" s="1">
        <v>4</v>
      </c>
      <c r="I199" s="1">
        <v>249.99</v>
      </c>
      <c r="J199" s="1" t="s">
        <v>57</v>
      </c>
      <c r="K199" s="1" t="s">
        <v>21</v>
      </c>
      <c r="L199" s="1" t="s">
        <v>27</v>
      </c>
      <c r="M199" s="2">
        <v>45217</v>
      </c>
      <c r="N199" s="13">
        <f>data[[#This Row],[Quantity]]*data[[#This Row],[Unit_Price]]</f>
        <v>999.96</v>
      </c>
      <c r="O199" s="12">
        <f t="shared" ca="1" si="6"/>
        <v>2</v>
      </c>
      <c r="P199" s="10">
        <f t="shared" ca="1" si="7"/>
        <v>46308.73029861111</v>
      </c>
      <c r="Q199" s="11" t="str" cm="1">
        <f t="array" ref="Q199">_xlfn.TEXTJOIN("",TRUE,LEFT(_xlfn.TEXTSPLIT(data[[#This Row],[Customer_Name]]," "),1))</f>
        <v>DN</v>
      </c>
      <c r="R199" s="24">
        <f>EOMONTH(data[[#This Row],[Date]],0)</f>
        <v>45688</v>
      </c>
      <c r="S199" s="11">
        <f>MONTH(data[[#This Row],[Date]])</f>
        <v>1</v>
      </c>
    </row>
    <row r="200" spans="1:19" ht="15" thickBot="1">
      <c r="A200" s="3" t="s">
        <v>345</v>
      </c>
      <c r="B200" s="2">
        <v>45686</v>
      </c>
      <c r="C200" s="1" t="s">
        <v>252</v>
      </c>
      <c r="D200" s="1" t="s">
        <v>253</v>
      </c>
      <c r="E200" s="1" t="s">
        <v>61</v>
      </c>
      <c r="F200" s="1" t="s">
        <v>62</v>
      </c>
      <c r="G200" s="1" t="s">
        <v>19</v>
      </c>
      <c r="H200" s="1">
        <v>4</v>
      </c>
      <c r="I200" s="1">
        <v>899.99</v>
      </c>
      <c r="J200" s="1" t="s">
        <v>34</v>
      </c>
      <c r="K200" s="1" t="s">
        <v>21</v>
      </c>
      <c r="L200" s="1" t="s">
        <v>22</v>
      </c>
      <c r="M200" s="2">
        <v>44734</v>
      </c>
      <c r="N200" s="13">
        <f>data[[#This Row],[Quantity]]*data[[#This Row],[Unit_Price]]</f>
        <v>3599.96</v>
      </c>
      <c r="O200" s="12">
        <f t="shared" ca="1" si="6"/>
        <v>4</v>
      </c>
      <c r="P200" s="10">
        <f t="shared" ca="1" si="7"/>
        <v>46308.73029861111</v>
      </c>
      <c r="Q200" s="11" t="str" cm="1">
        <f t="array" ref="Q200">_xlfn.TEXTJOIN("",TRUE,LEFT(_xlfn.TEXTSPLIT(data[[#This Row],[Customer_Name]]," "),1))</f>
        <v>WW</v>
      </c>
      <c r="R200" s="24">
        <f>EOMONTH(data[[#This Row],[Date]],0)</f>
        <v>45688</v>
      </c>
      <c r="S200" s="11">
        <f>MONTH(data[[#This Row],[Date]])</f>
        <v>1</v>
      </c>
    </row>
    <row r="201" spans="1:19" ht="15" thickBot="1">
      <c r="A201" s="3" t="s">
        <v>346</v>
      </c>
      <c r="B201" s="2">
        <v>45686</v>
      </c>
      <c r="C201" s="1" t="s">
        <v>86</v>
      </c>
      <c r="D201" s="1" t="s">
        <v>87</v>
      </c>
      <c r="E201" s="1" t="s">
        <v>105</v>
      </c>
      <c r="F201" s="1" t="s">
        <v>106</v>
      </c>
      <c r="G201" s="1" t="s">
        <v>46</v>
      </c>
      <c r="H201" s="1">
        <v>3</v>
      </c>
      <c r="I201" s="1">
        <v>299.99</v>
      </c>
      <c r="J201" s="1" t="s">
        <v>57</v>
      </c>
      <c r="K201" s="1" t="s">
        <v>50</v>
      </c>
      <c r="L201" s="1" t="s">
        <v>36</v>
      </c>
      <c r="M201" s="2">
        <v>44952</v>
      </c>
      <c r="N201" s="13">
        <f>data[[#This Row],[Quantity]]*data[[#This Row],[Unit_Price]]</f>
        <v>899.97</v>
      </c>
      <c r="O201" s="12">
        <f t="shared" ca="1" si="6"/>
        <v>3</v>
      </c>
      <c r="P201" s="10">
        <f t="shared" ca="1" si="7"/>
        <v>46308.73029861111</v>
      </c>
      <c r="Q201" s="11" t="str" cm="1">
        <f t="array" ref="Q201">_xlfn.TEXTJOIN("",TRUE,LEFT(_xlfn.TEXTSPLIT(data[[#This Row],[Customer_Name]]," "),1))</f>
        <v>MC</v>
      </c>
      <c r="R201" s="24">
        <f>EOMONTH(data[[#This Row],[Date]],0)</f>
        <v>45688</v>
      </c>
      <c r="S201" s="11">
        <f>MONTH(data[[#This Row],[Date]])</f>
        <v>1</v>
      </c>
    </row>
    <row r="202" spans="1:19" ht="15" thickBot="1">
      <c r="A202" s="3" t="s">
        <v>347</v>
      </c>
      <c r="B202" s="2">
        <v>45686</v>
      </c>
      <c r="C202" s="1" t="s">
        <v>293</v>
      </c>
      <c r="D202" s="1" t="s">
        <v>294</v>
      </c>
      <c r="E202" s="1" t="s">
        <v>80</v>
      </c>
      <c r="F202" s="1" t="s">
        <v>81</v>
      </c>
      <c r="G202" s="1" t="s">
        <v>19</v>
      </c>
      <c r="H202" s="1">
        <v>2</v>
      </c>
      <c r="I202" s="1">
        <v>699.99</v>
      </c>
      <c r="J202" s="1" t="s">
        <v>57</v>
      </c>
      <c r="K202" s="1" t="s">
        <v>21</v>
      </c>
      <c r="L202" s="1" t="s">
        <v>27</v>
      </c>
      <c r="M202" s="2">
        <v>44681</v>
      </c>
      <c r="N202" s="13">
        <f>data[[#This Row],[Quantity]]*data[[#This Row],[Unit_Price]]</f>
        <v>1399.98</v>
      </c>
      <c r="O202" s="12">
        <f t="shared" ca="1" si="6"/>
        <v>4</v>
      </c>
      <c r="P202" s="10">
        <f t="shared" ca="1" si="7"/>
        <v>46308.73029861111</v>
      </c>
      <c r="Q202" s="11" t="str" cm="1">
        <f t="array" ref="Q202">_xlfn.TEXTJOIN("",TRUE,LEFT(_xlfn.TEXTSPLIT(data[[#This Row],[Customer_Name]]," "),1))</f>
        <v>DW</v>
      </c>
      <c r="R202" s="24">
        <f>EOMONTH(data[[#This Row],[Date]],0)</f>
        <v>45688</v>
      </c>
      <c r="S202" s="11">
        <f>MONTH(data[[#This Row],[Date]])</f>
        <v>1</v>
      </c>
    </row>
    <row r="203" spans="1:19" ht="15" thickBot="1">
      <c r="A203" s="3" t="s">
        <v>348</v>
      </c>
      <c r="B203" s="2">
        <v>45688</v>
      </c>
      <c r="C203" s="1" t="s">
        <v>65</v>
      </c>
      <c r="D203" s="1" t="s">
        <v>66</v>
      </c>
      <c r="E203" s="1" t="s">
        <v>80</v>
      </c>
      <c r="F203" s="1" t="s">
        <v>81</v>
      </c>
      <c r="G203" s="1" t="s">
        <v>19</v>
      </c>
      <c r="H203" s="1">
        <v>4</v>
      </c>
      <c r="I203" s="1">
        <v>699.99</v>
      </c>
      <c r="J203" s="1" t="s">
        <v>57</v>
      </c>
      <c r="K203" s="1" t="s">
        <v>50</v>
      </c>
      <c r="L203" s="1" t="s">
        <v>27</v>
      </c>
      <c r="M203" s="2">
        <v>44692</v>
      </c>
      <c r="N203" s="13">
        <f>data[[#This Row],[Quantity]]*data[[#This Row],[Unit_Price]]</f>
        <v>2799.96</v>
      </c>
      <c r="O203" s="12">
        <f t="shared" ca="1" si="6"/>
        <v>4</v>
      </c>
      <c r="P203" s="10">
        <f t="shared" ca="1" si="7"/>
        <v>46308.73029861111</v>
      </c>
      <c r="Q203" s="11" t="str" cm="1">
        <f t="array" ref="Q203">_xlfn.TEXTJOIN("",TRUE,LEFT(_xlfn.TEXTSPLIT(data[[#This Row],[Customer_Name]]," "),1))</f>
        <v>KH</v>
      </c>
      <c r="R203" s="24">
        <f>EOMONTH(data[[#This Row],[Date]],0)</f>
        <v>45688</v>
      </c>
      <c r="S203" s="11">
        <f>MONTH(data[[#This Row],[Date]])</f>
        <v>1</v>
      </c>
    </row>
    <row r="204" spans="1:19" ht="15" thickBot="1">
      <c r="A204" s="3" t="s">
        <v>349</v>
      </c>
      <c r="B204" s="2">
        <v>45688</v>
      </c>
      <c r="C204" s="1" t="s">
        <v>123</v>
      </c>
      <c r="D204" s="1" t="s">
        <v>124</v>
      </c>
      <c r="E204" s="1" t="s">
        <v>117</v>
      </c>
      <c r="F204" s="1" t="s">
        <v>118</v>
      </c>
      <c r="G204" s="1" t="s">
        <v>19</v>
      </c>
      <c r="H204" s="1">
        <v>2</v>
      </c>
      <c r="I204" s="1">
        <v>89.99</v>
      </c>
      <c r="J204" s="1" t="s">
        <v>57</v>
      </c>
      <c r="K204" s="1" t="s">
        <v>35</v>
      </c>
      <c r="L204" s="1" t="s">
        <v>22</v>
      </c>
      <c r="M204" s="2">
        <v>44777</v>
      </c>
      <c r="N204" s="13">
        <f>data[[#This Row],[Quantity]]*data[[#This Row],[Unit_Price]]</f>
        <v>179.98</v>
      </c>
      <c r="O204" s="12">
        <f t="shared" ca="1" si="6"/>
        <v>4</v>
      </c>
      <c r="P204" s="10">
        <f t="shared" ca="1" si="7"/>
        <v>46308.73029861111</v>
      </c>
      <c r="Q204" s="11" t="str" cm="1">
        <f t="array" ref="Q204">_xlfn.TEXTJOIN("",TRUE,LEFT(_xlfn.TEXTSPLIT(data[[#This Row],[Customer_Name]]," "),1))</f>
        <v>EM</v>
      </c>
      <c r="R204" s="24">
        <f>EOMONTH(data[[#This Row],[Date]],0)</f>
        <v>45688</v>
      </c>
      <c r="S204" s="11">
        <f>MONTH(data[[#This Row],[Date]])</f>
        <v>1</v>
      </c>
    </row>
    <row r="205" spans="1:19" ht="15" thickBot="1">
      <c r="A205" s="3" t="s">
        <v>350</v>
      </c>
      <c r="B205" s="2">
        <v>45688</v>
      </c>
      <c r="C205" s="1" t="s">
        <v>42</v>
      </c>
      <c r="D205" s="1" t="s">
        <v>43</v>
      </c>
      <c r="E205" s="1" t="s">
        <v>117</v>
      </c>
      <c r="F205" s="1" t="s">
        <v>118</v>
      </c>
      <c r="G205" s="1" t="s">
        <v>19</v>
      </c>
      <c r="H205" s="1">
        <v>3</v>
      </c>
      <c r="I205" s="1">
        <v>89.99</v>
      </c>
      <c r="J205" s="1" t="s">
        <v>57</v>
      </c>
      <c r="K205" s="1" t="s">
        <v>35</v>
      </c>
      <c r="L205" s="1" t="s">
        <v>27</v>
      </c>
      <c r="M205" s="2">
        <v>45307</v>
      </c>
      <c r="N205" s="13">
        <f>data[[#This Row],[Quantity]]*data[[#This Row],[Unit_Price]]</f>
        <v>269.96999999999997</v>
      </c>
      <c r="O205" s="12">
        <f t="shared" ca="1" si="6"/>
        <v>2</v>
      </c>
      <c r="P205" s="10">
        <f t="shared" ca="1" si="7"/>
        <v>46308.73029861111</v>
      </c>
      <c r="Q205" s="11" t="str" cm="1">
        <f t="array" ref="Q205">_xlfn.TEXTJOIN("",TRUE,LEFT(_xlfn.TEXTSPLIT(data[[#This Row],[Customer_Name]]," "),1))</f>
        <v>MB</v>
      </c>
      <c r="R205" s="24">
        <f>EOMONTH(data[[#This Row],[Date]],0)</f>
        <v>45688</v>
      </c>
      <c r="S205" s="11">
        <f>MONTH(data[[#This Row],[Date]])</f>
        <v>1</v>
      </c>
    </row>
    <row r="206" spans="1:19" ht="15" thickBot="1">
      <c r="A206" s="3" t="s">
        <v>351</v>
      </c>
      <c r="B206" s="2">
        <v>45692</v>
      </c>
      <c r="C206" s="1" t="s">
        <v>325</v>
      </c>
      <c r="D206" s="1" t="s">
        <v>326</v>
      </c>
      <c r="E206" s="1" t="s">
        <v>31</v>
      </c>
      <c r="F206" s="1" t="s">
        <v>32</v>
      </c>
      <c r="G206" s="1" t="s">
        <v>33</v>
      </c>
      <c r="H206" s="1">
        <v>1</v>
      </c>
      <c r="I206" s="1">
        <v>59.99</v>
      </c>
      <c r="J206" s="1" t="s">
        <v>57</v>
      </c>
      <c r="K206" s="1" t="s">
        <v>21</v>
      </c>
      <c r="L206" s="1" t="s">
        <v>36</v>
      </c>
      <c r="M206" s="2">
        <v>45045</v>
      </c>
      <c r="N206" s="13">
        <f>data[[#This Row],[Quantity]]*data[[#This Row],[Unit_Price]]</f>
        <v>59.99</v>
      </c>
      <c r="O206" s="12">
        <f t="shared" ca="1" si="6"/>
        <v>3</v>
      </c>
      <c r="P206" s="10">
        <f t="shared" ca="1" si="7"/>
        <v>46308.73029861111</v>
      </c>
      <c r="Q206" s="11" t="str" cm="1">
        <f t="array" ref="Q206">_xlfn.TEXTJOIN("",TRUE,LEFT(_xlfn.TEXTSPLIT(data[[#This Row],[Customer_Name]]," "),1))</f>
        <v>AE</v>
      </c>
      <c r="R206" s="24">
        <f>EOMONTH(data[[#This Row],[Date]],0)</f>
        <v>45716</v>
      </c>
      <c r="S206" s="11">
        <f>MONTH(data[[#This Row],[Date]])</f>
        <v>2</v>
      </c>
    </row>
    <row r="207" spans="1:19" ht="15" thickBot="1">
      <c r="A207" s="3" t="s">
        <v>352</v>
      </c>
      <c r="B207" s="2">
        <v>45695</v>
      </c>
      <c r="C207" s="1" t="s">
        <v>246</v>
      </c>
      <c r="D207" s="1" t="s">
        <v>247</v>
      </c>
      <c r="E207" s="1" t="s">
        <v>44</v>
      </c>
      <c r="F207" s="1" t="s">
        <v>45</v>
      </c>
      <c r="G207" s="1" t="s">
        <v>46</v>
      </c>
      <c r="H207" s="1">
        <v>3</v>
      </c>
      <c r="I207" s="1">
        <v>149.99</v>
      </c>
      <c r="J207" s="1" t="s">
        <v>57</v>
      </c>
      <c r="K207" s="1" t="s">
        <v>40</v>
      </c>
      <c r="L207" s="1" t="s">
        <v>27</v>
      </c>
      <c r="M207" s="2">
        <v>44564</v>
      </c>
      <c r="N207" s="13">
        <f>data[[#This Row],[Quantity]]*data[[#This Row],[Unit_Price]]</f>
        <v>449.97</v>
      </c>
      <c r="O207" s="12">
        <f t="shared" ca="1" si="6"/>
        <v>4</v>
      </c>
      <c r="P207" s="10">
        <f t="shared" ca="1" si="7"/>
        <v>46308.73029861111</v>
      </c>
      <c r="Q207" s="11" t="str" cm="1">
        <f t="array" ref="Q207">_xlfn.TEXTJOIN("",TRUE,LEFT(_xlfn.TEXTSPLIT(data[[#This Row],[Customer_Name]]," "),1))</f>
        <v>RB</v>
      </c>
      <c r="R207" s="24">
        <f>EOMONTH(data[[#This Row],[Date]],0)</f>
        <v>45716</v>
      </c>
      <c r="S207" s="11">
        <f>MONTH(data[[#This Row],[Date]])</f>
        <v>2</v>
      </c>
    </row>
    <row r="208" spans="1:19" ht="15" thickBot="1">
      <c r="A208" s="3" t="s">
        <v>353</v>
      </c>
      <c r="B208" s="2">
        <v>45695</v>
      </c>
      <c r="C208" s="1" t="s">
        <v>93</v>
      </c>
      <c r="D208" s="1" t="s">
        <v>94</v>
      </c>
      <c r="E208" s="1" t="s">
        <v>105</v>
      </c>
      <c r="F208" s="1" t="s">
        <v>106</v>
      </c>
      <c r="G208" s="1" t="s">
        <v>46</v>
      </c>
      <c r="H208" s="1">
        <v>5</v>
      </c>
      <c r="I208" s="1">
        <v>299.99</v>
      </c>
      <c r="J208" s="1" t="s">
        <v>26</v>
      </c>
      <c r="K208" s="1" t="s">
        <v>35</v>
      </c>
      <c r="L208" s="1" t="s">
        <v>22</v>
      </c>
      <c r="M208" s="2">
        <v>44959</v>
      </c>
      <c r="N208" s="13">
        <f>data[[#This Row],[Quantity]]*data[[#This Row],[Unit_Price]]</f>
        <v>1499.95</v>
      </c>
      <c r="O208" s="12">
        <f t="shared" ca="1" si="6"/>
        <v>3</v>
      </c>
      <c r="P208" s="10">
        <f t="shared" ca="1" si="7"/>
        <v>46308.73029861111</v>
      </c>
      <c r="Q208" s="11" t="str" cm="1">
        <f t="array" ref="Q208">_xlfn.TEXTJOIN("",TRUE,LEFT(_xlfn.TEXTSPLIT(data[[#This Row],[Customer_Name]]," "),1))</f>
        <v>VS</v>
      </c>
      <c r="R208" s="24">
        <f>EOMONTH(data[[#This Row],[Date]],0)</f>
        <v>45716</v>
      </c>
      <c r="S208" s="11">
        <f>MONTH(data[[#This Row],[Date]])</f>
        <v>2</v>
      </c>
    </row>
    <row r="209" spans="1:19" ht="15" thickBot="1">
      <c r="A209" s="3" t="s">
        <v>354</v>
      </c>
      <c r="B209" s="2">
        <v>45696</v>
      </c>
      <c r="C209" s="1" t="s">
        <v>150</v>
      </c>
      <c r="D209" s="1" t="s">
        <v>151</v>
      </c>
      <c r="E209" s="1" t="s">
        <v>31</v>
      </c>
      <c r="F209" s="1" t="s">
        <v>32</v>
      </c>
      <c r="G209" s="1" t="s">
        <v>33</v>
      </c>
      <c r="H209" s="1">
        <v>5</v>
      </c>
      <c r="I209" s="1">
        <v>59.99</v>
      </c>
      <c r="J209" s="1" t="s">
        <v>57</v>
      </c>
      <c r="K209" s="1" t="s">
        <v>21</v>
      </c>
      <c r="L209" s="1" t="s">
        <v>36</v>
      </c>
      <c r="M209" s="2">
        <v>45177</v>
      </c>
      <c r="N209" s="13">
        <f>data[[#This Row],[Quantity]]*data[[#This Row],[Unit_Price]]</f>
        <v>299.95</v>
      </c>
      <c r="O209" s="12">
        <f t="shared" ca="1" si="6"/>
        <v>3</v>
      </c>
      <c r="P209" s="10">
        <f t="shared" ca="1" si="7"/>
        <v>46308.73029861111</v>
      </c>
      <c r="Q209" s="11" t="str" cm="1">
        <f t="array" ref="Q209">_xlfn.TEXTJOIN("",TRUE,LEFT(_xlfn.TEXTSPLIT(data[[#This Row],[Customer_Name]]," "),1))</f>
        <v>SB</v>
      </c>
      <c r="R209" s="24">
        <f>EOMONTH(data[[#This Row],[Date]],0)</f>
        <v>45716</v>
      </c>
      <c r="S209" s="11">
        <f>MONTH(data[[#This Row],[Date]])</f>
        <v>2</v>
      </c>
    </row>
    <row r="210" spans="1:19" ht="15" thickBot="1">
      <c r="A210" s="3" t="s">
        <v>355</v>
      </c>
      <c r="B210" s="2">
        <v>45701</v>
      </c>
      <c r="C210" s="1" t="s">
        <v>108</v>
      </c>
      <c r="D210" s="1" t="s">
        <v>109</v>
      </c>
      <c r="E210" s="1" t="s">
        <v>114</v>
      </c>
      <c r="F210" s="1" t="s">
        <v>115</v>
      </c>
      <c r="G210" s="1" t="s">
        <v>33</v>
      </c>
      <c r="H210" s="1">
        <v>3</v>
      </c>
      <c r="I210" s="1">
        <v>79.989999999999995</v>
      </c>
      <c r="J210" s="1" t="s">
        <v>20</v>
      </c>
      <c r="K210" s="1" t="s">
        <v>63</v>
      </c>
      <c r="L210" s="1" t="s">
        <v>27</v>
      </c>
      <c r="M210" s="2">
        <v>44436</v>
      </c>
      <c r="N210" s="13">
        <f>data[[#This Row],[Quantity]]*data[[#This Row],[Unit_Price]]</f>
        <v>239.96999999999997</v>
      </c>
      <c r="O210" s="12">
        <f t="shared" ca="1" si="6"/>
        <v>5</v>
      </c>
      <c r="P210" s="10">
        <f t="shared" ca="1" si="7"/>
        <v>46308.73029861111</v>
      </c>
      <c r="Q210" s="11" t="str" cm="1">
        <f t="array" ref="Q210">_xlfn.TEXTJOIN("",TRUE,LEFT(_xlfn.TEXTSPLIT(data[[#This Row],[Customer_Name]]," "),1))</f>
        <v>NC</v>
      </c>
      <c r="R210" s="24">
        <f>EOMONTH(data[[#This Row],[Date]],0)</f>
        <v>45716</v>
      </c>
      <c r="S210" s="11">
        <f>MONTH(data[[#This Row],[Date]])</f>
        <v>2</v>
      </c>
    </row>
    <row r="211" spans="1:19" ht="15" thickBot="1">
      <c r="A211" s="3" t="s">
        <v>356</v>
      </c>
      <c r="B211" s="2">
        <v>45704</v>
      </c>
      <c r="C211" s="1" t="s">
        <v>29</v>
      </c>
      <c r="D211" s="1" t="s">
        <v>30</v>
      </c>
      <c r="E211" s="1" t="s">
        <v>126</v>
      </c>
      <c r="F211" s="1" t="s">
        <v>127</v>
      </c>
      <c r="G211" s="1" t="s">
        <v>46</v>
      </c>
      <c r="H211" s="1">
        <v>3</v>
      </c>
      <c r="I211" s="1">
        <v>199.99</v>
      </c>
      <c r="J211" s="1" t="s">
        <v>20</v>
      </c>
      <c r="K211" s="1" t="s">
        <v>21</v>
      </c>
      <c r="L211" s="1" t="s">
        <v>22</v>
      </c>
      <c r="M211" s="2">
        <v>44735</v>
      </c>
      <c r="N211" s="13">
        <f>data[[#This Row],[Quantity]]*data[[#This Row],[Unit_Price]]</f>
        <v>599.97</v>
      </c>
      <c r="O211" s="12">
        <f t="shared" ca="1" si="6"/>
        <v>4</v>
      </c>
      <c r="P211" s="10">
        <f t="shared" ca="1" si="7"/>
        <v>46308.73029861111</v>
      </c>
      <c r="Q211" s="11" t="str" cm="1">
        <f t="array" ref="Q211">_xlfn.TEXTJOIN("",TRUE,LEFT(_xlfn.TEXTSPLIT(data[[#This Row],[Customer_Name]]," "),1))</f>
        <v>KS</v>
      </c>
      <c r="R211" s="24">
        <f>EOMONTH(data[[#This Row],[Date]],0)</f>
        <v>45716</v>
      </c>
      <c r="S211" s="11">
        <f>MONTH(data[[#This Row],[Date]])</f>
        <v>2</v>
      </c>
    </row>
    <row r="212" spans="1:19" ht="15" thickBot="1">
      <c r="A212" s="3" t="s">
        <v>357</v>
      </c>
      <c r="B212" s="2">
        <v>45704</v>
      </c>
      <c r="C212" s="1" t="s">
        <v>15</v>
      </c>
      <c r="D212" s="1" t="s">
        <v>16</v>
      </c>
      <c r="E212" s="1" t="s">
        <v>117</v>
      </c>
      <c r="F212" s="1" t="s">
        <v>118</v>
      </c>
      <c r="G212" s="1" t="s">
        <v>19</v>
      </c>
      <c r="H212" s="1">
        <v>2</v>
      </c>
      <c r="I212" s="1">
        <v>89.99</v>
      </c>
      <c r="J212" s="1" t="s">
        <v>34</v>
      </c>
      <c r="K212" s="1" t="s">
        <v>21</v>
      </c>
      <c r="L212" s="1" t="s">
        <v>22</v>
      </c>
      <c r="M212" s="2">
        <v>45257</v>
      </c>
      <c r="N212" s="13">
        <f>data[[#This Row],[Quantity]]*data[[#This Row],[Unit_Price]]</f>
        <v>179.98</v>
      </c>
      <c r="O212" s="12">
        <f t="shared" ca="1" si="6"/>
        <v>2</v>
      </c>
      <c r="P212" s="10">
        <f t="shared" ca="1" si="7"/>
        <v>46308.73029861111</v>
      </c>
      <c r="Q212" s="11" t="str" cm="1">
        <f t="array" ref="Q212">_xlfn.TEXTJOIN("",TRUE,LEFT(_xlfn.TEXTSPLIT(data[[#This Row],[Customer_Name]]," "),1))</f>
        <v>PB</v>
      </c>
      <c r="R212" s="24">
        <f>EOMONTH(data[[#This Row],[Date]],0)</f>
        <v>45716</v>
      </c>
      <c r="S212" s="11">
        <f>MONTH(data[[#This Row],[Date]])</f>
        <v>2</v>
      </c>
    </row>
    <row r="213" spans="1:19" ht="15" thickBot="1">
      <c r="A213" s="3" t="s">
        <v>358</v>
      </c>
      <c r="B213" s="2">
        <v>45705</v>
      </c>
      <c r="C213" s="1" t="s">
        <v>259</v>
      </c>
      <c r="D213" s="1" t="s">
        <v>260</v>
      </c>
      <c r="E213" s="1" t="s">
        <v>44</v>
      </c>
      <c r="F213" s="1" t="s">
        <v>45</v>
      </c>
      <c r="G213" s="1" t="s">
        <v>46</v>
      </c>
      <c r="H213" s="1">
        <v>2</v>
      </c>
      <c r="I213" s="1">
        <v>149.99</v>
      </c>
      <c r="J213" s="1" t="s">
        <v>20</v>
      </c>
      <c r="K213" s="1" t="s">
        <v>35</v>
      </c>
      <c r="L213" s="1" t="s">
        <v>27</v>
      </c>
      <c r="M213" s="2">
        <v>44728</v>
      </c>
      <c r="N213" s="13">
        <f>data[[#This Row],[Quantity]]*data[[#This Row],[Unit_Price]]</f>
        <v>299.98</v>
      </c>
      <c r="O213" s="12">
        <f t="shared" ca="1" si="6"/>
        <v>4</v>
      </c>
      <c r="P213" s="10">
        <f t="shared" ca="1" si="7"/>
        <v>46308.73029861111</v>
      </c>
      <c r="Q213" s="11" t="str" cm="1">
        <f t="array" ref="Q213">_xlfn.TEXTJOIN("",TRUE,LEFT(_xlfn.TEXTSPLIT(data[[#This Row],[Customer_Name]]," "),1))</f>
        <v>RL</v>
      </c>
      <c r="R213" s="24">
        <f>EOMONTH(data[[#This Row],[Date]],0)</f>
        <v>45716</v>
      </c>
      <c r="S213" s="11">
        <f>MONTH(data[[#This Row],[Date]])</f>
        <v>2</v>
      </c>
    </row>
    <row r="214" spans="1:19" ht="15" thickBot="1">
      <c r="A214" s="3" t="s">
        <v>359</v>
      </c>
      <c r="B214" s="2">
        <v>45707</v>
      </c>
      <c r="C214" s="1" t="s">
        <v>123</v>
      </c>
      <c r="D214" s="1" t="s">
        <v>124</v>
      </c>
      <c r="E214" s="1" t="s">
        <v>80</v>
      </c>
      <c r="F214" s="1" t="s">
        <v>81</v>
      </c>
      <c r="G214" s="1" t="s">
        <v>19</v>
      </c>
      <c r="H214" s="1">
        <v>5</v>
      </c>
      <c r="I214" s="1">
        <v>699.99</v>
      </c>
      <c r="J214" s="1" t="s">
        <v>34</v>
      </c>
      <c r="K214" s="1" t="s">
        <v>35</v>
      </c>
      <c r="L214" s="1" t="s">
        <v>27</v>
      </c>
      <c r="M214" s="2">
        <v>45352</v>
      </c>
      <c r="N214" s="13">
        <f>data[[#This Row],[Quantity]]*data[[#This Row],[Unit_Price]]</f>
        <v>3499.95</v>
      </c>
      <c r="O214" s="12">
        <f t="shared" ca="1" si="6"/>
        <v>2</v>
      </c>
      <c r="P214" s="10">
        <f t="shared" ca="1" si="7"/>
        <v>46308.73029861111</v>
      </c>
      <c r="Q214" s="11" t="str" cm="1">
        <f t="array" ref="Q214">_xlfn.TEXTJOIN("",TRUE,LEFT(_xlfn.TEXTSPLIT(data[[#This Row],[Customer_Name]]," "),1))</f>
        <v>EM</v>
      </c>
      <c r="R214" s="24">
        <f>EOMONTH(data[[#This Row],[Date]],0)</f>
        <v>45716</v>
      </c>
      <c r="S214" s="11">
        <f>MONTH(data[[#This Row],[Date]])</f>
        <v>2</v>
      </c>
    </row>
    <row r="215" spans="1:19" ht="15" thickBot="1">
      <c r="A215" s="3" t="s">
        <v>360</v>
      </c>
      <c r="B215" s="2">
        <v>45707</v>
      </c>
      <c r="C215" s="1" t="s">
        <v>42</v>
      </c>
      <c r="D215" s="1" t="s">
        <v>43</v>
      </c>
      <c r="E215" s="1" t="s">
        <v>44</v>
      </c>
      <c r="F215" s="1" t="s">
        <v>45</v>
      </c>
      <c r="G215" s="1" t="s">
        <v>46</v>
      </c>
      <c r="H215" s="1">
        <v>3</v>
      </c>
      <c r="I215" s="1">
        <v>149.99</v>
      </c>
      <c r="J215" s="1" t="s">
        <v>34</v>
      </c>
      <c r="K215" s="1" t="s">
        <v>21</v>
      </c>
      <c r="L215" s="1" t="s">
        <v>36</v>
      </c>
      <c r="M215" s="2">
        <v>44633</v>
      </c>
      <c r="N215" s="13">
        <f>data[[#This Row],[Quantity]]*data[[#This Row],[Unit_Price]]</f>
        <v>449.97</v>
      </c>
      <c r="O215" s="12">
        <f t="shared" ca="1" si="6"/>
        <v>4</v>
      </c>
      <c r="P215" s="10">
        <f t="shared" ca="1" si="7"/>
        <v>46308.73029861111</v>
      </c>
      <c r="Q215" s="11" t="str" cm="1">
        <f t="array" ref="Q215">_xlfn.TEXTJOIN("",TRUE,LEFT(_xlfn.TEXTSPLIT(data[[#This Row],[Customer_Name]]," "),1))</f>
        <v>MB</v>
      </c>
      <c r="R215" s="24">
        <f>EOMONTH(data[[#This Row],[Date]],0)</f>
        <v>45716</v>
      </c>
      <c r="S215" s="11">
        <f>MONTH(data[[#This Row],[Date]])</f>
        <v>2</v>
      </c>
    </row>
    <row r="216" spans="1:19" ht="15" thickBot="1">
      <c r="A216" s="3" t="s">
        <v>361</v>
      </c>
      <c r="B216" s="2">
        <v>45708</v>
      </c>
      <c r="C216" s="1" t="s">
        <v>96</v>
      </c>
      <c r="D216" s="1" t="s">
        <v>97</v>
      </c>
      <c r="E216" s="1" t="s">
        <v>61</v>
      </c>
      <c r="F216" s="1" t="s">
        <v>62</v>
      </c>
      <c r="G216" s="1" t="s">
        <v>19</v>
      </c>
      <c r="H216" s="1">
        <v>3</v>
      </c>
      <c r="I216" s="1">
        <v>899.99</v>
      </c>
      <c r="J216" s="1" t="s">
        <v>20</v>
      </c>
      <c r="K216" s="1" t="s">
        <v>63</v>
      </c>
      <c r="L216" s="1" t="s">
        <v>36</v>
      </c>
      <c r="M216" s="2">
        <v>44613</v>
      </c>
      <c r="N216" s="13">
        <f>data[[#This Row],[Quantity]]*data[[#This Row],[Unit_Price]]</f>
        <v>2699.9700000000003</v>
      </c>
      <c r="O216" s="12">
        <f t="shared" ca="1" si="6"/>
        <v>4</v>
      </c>
      <c r="P216" s="10">
        <f t="shared" ca="1" si="7"/>
        <v>46308.73029861111</v>
      </c>
      <c r="Q216" s="11" t="str" cm="1">
        <f t="array" ref="Q216">_xlfn.TEXTJOIN("",TRUE,LEFT(_xlfn.TEXTSPLIT(data[[#This Row],[Customer_Name]]," "),1))</f>
        <v>BY</v>
      </c>
      <c r="R216" s="24">
        <f>EOMONTH(data[[#This Row],[Date]],0)</f>
        <v>45716</v>
      </c>
      <c r="S216" s="11">
        <f>MONTH(data[[#This Row],[Date]])</f>
        <v>2</v>
      </c>
    </row>
    <row r="217" spans="1:19" ht="15" thickBot="1">
      <c r="A217" s="3" t="s">
        <v>362</v>
      </c>
      <c r="B217" s="2">
        <v>45708</v>
      </c>
      <c r="C217" s="1" t="s">
        <v>192</v>
      </c>
      <c r="D217" s="1" t="s">
        <v>193</v>
      </c>
      <c r="E217" s="1" t="s">
        <v>126</v>
      </c>
      <c r="F217" s="1" t="s">
        <v>127</v>
      </c>
      <c r="G217" s="1" t="s">
        <v>46</v>
      </c>
      <c r="H217" s="1">
        <v>3</v>
      </c>
      <c r="I217" s="1">
        <v>199.99</v>
      </c>
      <c r="J217" s="1" t="s">
        <v>20</v>
      </c>
      <c r="K217" s="1" t="s">
        <v>50</v>
      </c>
      <c r="L217" s="1" t="s">
        <v>27</v>
      </c>
      <c r="M217" s="2">
        <v>44823</v>
      </c>
      <c r="N217" s="13">
        <f>data[[#This Row],[Quantity]]*data[[#This Row],[Unit_Price]]</f>
        <v>599.97</v>
      </c>
      <c r="O217" s="12">
        <f t="shared" ca="1" si="6"/>
        <v>4</v>
      </c>
      <c r="P217" s="10">
        <f t="shared" ca="1" si="7"/>
        <v>46308.73029861111</v>
      </c>
      <c r="Q217" s="11" t="str" cm="1">
        <f t="array" ref="Q217">_xlfn.TEXTJOIN("",TRUE,LEFT(_xlfn.TEXTSPLIT(data[[#This Row],[Customer_Name]]," "),1))</f>
        <v>FT</v>
      </c>
      <c r="R217" s="24">
        <f>EOMONTH(data[[#This Row],[Date]],0)</f>
        <v>45716</v>
      </c>
      <c r="S217" s="11">
        <f>MONTH(data[[#This Row],[Date]])</f>
        <v>2</v>
      </c>
    </row>
    <row r="218" spans="1:19" ht="15" thickBot="1">
      <c r="A218" s="3" t="s">
        <v>363</v>
      </c>
      <c r="B218" s="2">
        <v>45710</v>
      </c>
      <c r="C218" s="1" t="s">
        <v>55</v>
      </c>
      <c r="D218" s="1" t="s">
        <v>56</v>
      </c>
      <c r="E218" s="1" t="s">
        <v>105</v>
      </c>
      <c r="F218" s="1" t="s">
        <v>106</v>
      </c>
      <c r="G218" s="1" t="s">
        <v>46</v>
      </c>
      <c r="H218" s="1">
        <v>5</v>
      </c>
      <c r="I218" s="1">
        <v>299.99</v>
      </c>
      <c r="J218" s="1" t="s">
        <v>20</v>
      </c>
      <c r="K218" s="1" t="s">
        <v>50</v>
      </c>
      <c r="L218" s="1" t="s">
        <v>36</v>
      </c>
      <c r="M218" s="2">
        <v>45142</v>
      </c>
      <c r="N218" s="13">
        <f>data[[#This Row],[Quantity]]*data[[#This Row],[Unit_Price]]</f>
        <v>1499.95</v>
      </c>
      <c r="O218" s="12">
        <f t="shared" ca="1" si="6"/>
        <v>3</v>
      </c>
      <c r="P218" s="10">
        <f t="shared" ca="1" si="7"/>
        <v>46308.73029861111</v>
      </c>
      <c r="Q218" s="11" t="str" cm="1">
        <f t="array" ref="Q218">_xlfn.TEXTJOIN("",TRUE,LEFT(_xlfn.TEXTSPLIT(data[[#This Row],[Customer_Name]]," "),1))</f>
        <v>CA</v>
      </c>
      <c r="R218" s="24">
        <f>EOMONTH(data[[#This Row],[Date]],0)</f>
        <v>45716</v>
      </c>
      <c r="S218" s="11">
        <f>MONTH(data[[#This Row],[Date]])</f>
        <v>2</v>
      </c>
    </row>
    <row r="219" spans="1:19" ht="15" thickBot="1">
      <c r="A219" s="3" t="s">
        <v>364</v>
      </c>
      <c r="B219" s="2">
        <v>45710</v>
      </c>
      <c r="C219" s="1" t="s">
        <v>150</v>
      </c>
      <c r="D219" s="1" t="s">
        <v>151</v>
      </c>
      <c r="E219" s="1" t="s">
        <v>80</v>
      </c>
      <c r="F219" s="1" t="s">
        <v>81</v>
      </c>
      <c r="G219" s="1" t="s">
        <v>19</v>
      </c>
      <c r="H219" s="1">
        <v>1</v>
      </c>
      <c r="I219" s="1">
        <v>699.99</v>
      </c>
      <c r="J219" s="1" t="s">
        <v>34</v>
      </c>
      <c r="K219" s="1" t="s">
        <v>50</v>
      </c>
      <c r="L219" s="1" t="s">
        <v>22</v>
      </c>
      <c r="M219" s="2">
        <v>44934</v>
      </c>
      <c r="N219" s="13">
        <f>data[[#This Row],[Quantity]]*data[[#This Row],[Unit_Price]]</f>
        <v>699.99</v>
      </c>
      <c r="O219" s="12">
        <f t="shared" ca="1" si="6"/>
        <v>3</v>
      </c>
      <c r="P219" s="10">
        <f t="shared" ca="1" si="7"/>
        <v>46308.73029861111</v>
      </c>
      <c r="Q219" s="11" t="str" cm="1">
        <f t="array" ref="Q219">_xlfn.TEXTJOIN("",TRUE,LEFT(_xlfn.TEXTSPLIT(data[[#This Row],[Customer_Name]]," "),1))</f>
        <v>SB</v>
      </c>
      <c r="R219" s="24">
        <f>EOMONTH(data[[#This Row],[Date]],0)</f>
        <v>45716</v>
      </c>
      <c r="S219" s="11">
        <f>MONTH(data[[#This Row],[Date]])</f>
        <v>2</v>
      </c>
    </row>
    <row r="220" spans="1:19" ht="15" thickBot="1">
      <c r="A220" s="3" t="s">
        <v>365</v>
      </c>
      <c r="B220" s="2">
        <v>45711</v>
      </c>
      <c r="C220" s="1" t="s">
        <v>246</v>
      </c>
      <c r="D220" s="1" t="s">
        <v>247</v>
      </c>
      <c r="E220" s="1" t="s">
        <v>80</v>
      </c>
      <c r="F220" s="1" t="s">
        <v>81</v>
      </c>
      <c r="G220" s="1" t="s">
        <v>19</v>
      </c>
      <c r="H220" s="1">
        <v>1</v>
      </c>
      <c r="I220" s="1">
        <v>699.99</v>
      </c>
      <c r="J220" s="1" t="s">
        <v>20</v>
      </c>
      <c r="K220" s="1" t="s">
        <v>40</v>
      </c>
      <c r="L220" s="1" t="s">
        <v>27</v>
      </c>
      <c r="M220" s="2">
        <v>44583</v>
      </c>
      <c r="N220" s="13">
        <f>data[[#This Row],[Quantity]]*data[[#This Row],[Unit_Price]]</f>
        <v>699.99</v>
      </c>
      <c r="O220" s="12">
        <f t="shared" ca="1" si="6"/>
        <v>4</v>
      </c>
      <c r="P220" s="10">
        <f t="shared" ca="1" si="7"/>
        <v>46308.73029861111</v>
      </c>
      <c r="Q220" s="11" t="str" cm="1">
        <f t="array" ref="Q220">_xlfn.TEXTJOIN("",TRUE,LEFT(_xlfn.TEXTSPLIT(data[[#This Row],[Customer_Name]]," "),1))</f>
        <v>RB</v>
      </c>
      <c r="R220" s="24">
        <f>EOMONTH(data[[#This Row],[Date]],0)</f>
        <v>45716</v>
      </c>
      <c r="S220" s="11">
        <f>MONTH(data[[#This Row],[Date]])</f>
        <v>2</v>
      </c>
    </row>
    <row r="221" spans="1:19" ht="15" thickBot="1">
      <c r="A221" s="3" t="s">
        <v>366</v>
      </c>
      <c r="B221" s="2">
        <v>45711</v>
      </c>
      <c r="C221" s="1" t="s">
        <v>325</v>
      </c>
      <c r="D221" s="1" t="s">
        <v>326</v>
      </c>
      <c r="E221" s="1" t="s">
        <v>44</v>
      </c>
      <c r="F221" s="1" t="s">
        <v>45</v>
      </c>
      <c r="G221" s="1" t="s">
        <v>46</v>
      </c>
      <c r="H221" s="1">
        <v>4</v>
      </c>
      <c r="I221" s="1">
        <v>149.99</v>
      </c>
      <c r="J221" s="1" t="s">
        <v>34</v>
      </c>
      <c r="K221" s="1" t="s">
        <v>40</v>
      </c>
      <c r="L221" s="1" t="s">
        <v>27</v>
      </c>
      <c r="M221" s="2">
        <v>44412</v>
      </c>
      <c r="N221" s="13">
        <f>data[[#This Row],[Quantity]]*data[[#This Row],[Unit_Price]]</f>
        <v>599.96</v>
      </c>
      <c r="O221" s="12">
        <f t="shared" ca="1" si="6"/>
        <v>5</v>
      </c>
      <c r="P221" s="10">
        <f t="shared" ca="1" si="7"/>
        <v>46308.73029861111</v>
      </c>
      <c r="Q221" s="11" t="str" cm="1">
        <f t="array" ref="Q221">_xlfn.TEXTJOIN("",TRUE,LEFT(_xlfn.TEXTSPLIT(data[[#This Row],[Customer_Name]]," "),1))</f>
        <v>AE</v>
      </c>
      <c r="R221" s="24">
        <f>EOMONTH(data[[#This Row],[Date]],0)</f>
        <v>45716</v>
      </c>
      <c r="S221" s="11">
        <f>MONTH(data[[#This Row],[Date]])</f>
        <v>2</v>
      </c>
    </row>
    <row r="222" spans="1:19" ht="15" thickBot="1">
      <c r="A222" s="3" t="s">
        <v>367</v>
      </c>
      <c r="B222" s="2">
        <v>45711</v>
      </c>
      <c r="C222" s="1" t="s">
        <v>211</v>
      </c>
      <c r="D222" s="1" t="s">
        <v>212</v>
      </c>
      <c r="E222" s="1" t="s">
        <v>117</v>
      </c>
      <c r="F222" s="1" t="s">
        <v>118</v>
      </c>
      <c r="G222" s="1" t="s">
        <v>19</v>
      </c>
      <c r="H222" s="1">
        <v>5</v>
      </c>
      <c r="I222" s="1">
        <v>89.99</v>
      </c>
      <c r="J222" s="1" t="s">
        <v>34</v>
      </c>
      <c r="K222" s="1" t="s">
        <v>50</v>
      </c>
      <c r="L222" s="1" t="s">
        <v>27</v>
      </c>
      <c r="M222" s="2">
        <v>45140</v>
      </c>
      <c r="N222" s="13">
        <f>data[[#This Row],[Quantity]]*data[[#This Row],[Unit_Price]]</f>
        <v>449.95</v>
      </c>
      <c r="O222" s="12">
        <f t="shared" ca="1" si="6"/>
        <v>3</v>
      </c>
      <c r="P222" s="10">
        <f t="shared" ca="1" si="7"/>
        <v>46308.73029861111</v>
      </c>
      <c r="Q222" s="11" t="str" cm="1">
        <f t="array" ref="Q222">_xlfn.TEXTJOIN("",TRUE,LEFT(_xlfn.TEXTSPLIT(data[[#This Row],[Customer_Name]]," "),1))</f>
        <v>EH</v>
      </c>
      <c r="R222" s="24">
        <f>EOMONTH(data[[#This Row],[Date]],0)</f>
        <v>45716</v>
      </c>
      <c r="S222" s="11">
        <f>MONTH(data[[#This Row],[Date]])</f>
        <v>2</v>
      </c>
    </row>
    <row r="223" spans="1:19" ht="15" thickBot="1">
      <c r="A223" s="3" t="s">
        <v>368</v>
      </c>
      <c r="B223" s="2">
        <v>45712</v>
      </c>
      <c r="C223" s="1" t="s">
        <v>138</v>
      </c>
      <c r="D223" s="1" t="s">
        <v>139</v>
      </c>
      <c r="E223" s="1" t="s">
        <v>126</v>
      </c>
      <c r="F223" s="1" t="s">
        <v>127</v>
      </c>
      <c r="G223" s="1" t="s">
        <v>46</v>
      </c>
      <c r="H223" s="1">
        <v>2</v>
      </c>
      <c r="I223" s="1">
        <v>199.99</v>
      </c>
      <c r="J223" s="1" t="s">
        <v>20</v>
      </c>
      <c r="K223" s="1" t="s">
        <v>21</v>
      </c>
      <c r="L223" s="1" t="s">
        <v>27</v>
      </c>
      <c r="M223" s="2">
        <v>44573</v>
      </c>
      <c r="N223" s="13">
        <f>data[[#This Row],[Quantity]]*data[[#This Row],[Unit_Price]]</f>
        <v>399.98</v>
      </c>
      <c r="O223" s="12">
        <f t="shared" ca="1" si="6"/>
        <v>4</v>
      </c>
      <c r="P223" s="10">
        <f t="shared" ca="1" si="7"/>
        <v>46308.73029861111</v>
      </c>
      <c r="Q223" s="11" t="str" cm="1">
        <f t="array" ref="Q223">_xlfn.TEXTJOIN("",TRUE,LEFT(_xlfn.TEXTSPLIT(data[[#This Row],[Customer_Name]]," "),1))</f>
        <v>ST</v>
      </c>
      <c r="R223" s="24">
        <f>EOMONTH(data[[#This Row],[Date]],0)</f>
        <v>45716</v>
      </c>
      <c r="S223" s="11">
        <f>MONTH(data[[#This Row],[Date]])</f>
        <v>2</v>
      </c>
    </row>
    <row r="224" spans="1:19" ht="15" thickBot="1">
      <c r="A224" s="3" t="s">
        <v>369</v>
      </c>
      <c r="B224" s="2">
        <v>45715</v>
      </c>
      <c r="C224" s="1" t="s">
        <v>259</v>
      </c>
      <c r="D224" s="1" t="s">
        <v>260</v>
      </c>
      <c r="E224" s="1" t="s">
        <v>31</v>
      </c>
      <c r="F224" s="1" t="s">
        <v>32</v>
      </c>
      <c r="G224" s="1" t="s">
        <v>33</v>
      </c>
      <c r="H224" s="1">
        <v>4</v>
      </c>
      <c r="I224" s="1">
        <v>59.99</v>
      </c>
      <c r="J224" s="1" t="s">
        <v>20</v>
      </c>
      <c r="K224" s="1" t="s">
        <v>50</v>
      </c>
      <c r="L224" s="1" t="s">
        <v>36</v>
      </c>
      <c r="M224" s="2">
        <v>45070</v>
      </c>
      <c r="N224" s="13">
        <f>data[[#This Row],[Quantity]]*data[[#This Row],[Unit_Price]]</f>
        <v>239.96</v>
      </c>
      <c r="O224" s="12">
        <f t="shared" ca="1" si="6"/>
        <v>3</v>
      </c>
      <c r="P224" s="10">
        <f t="shared" ca="1" si="7"/>
        <v>46308.73029861111</v>
      </c>
      <c r="Q224" s="11" t="str" cm="1">
        <f t="array" ref="Q224">_xlfn.TEXTJOIN("",TRUE,LEFT(_xlfn.TEXTSPLIT(data[[#This Row],[Customer_Name]]," "),1))</f>
        <v>RL</v>
      </c>
      <c r="R224" s="24">
        <f>EOMONTH(data[[#This Row],[Date]],0)</f>
        <v>45716</v>
      </c>
      <c r="S224" s="11">
        <f>MONTH(data[[#This Row],[Date]])</f>
        <v>2</v>
      </c>
    </row>
    <row r="225" spans="1:19" ht="15" thickBot="1">
      <c r="A225" s="3" t="s">
        <v>370</v>
      </c>
      <c r="B225" s="2">
        <v>45715</v>
      </c>
      <c r="C225" s="1" t="s">
        <v>93</v>
      </c>
      <c r="D225" s="1" t="s">
        <v>94</v>
      </c>
      <c r="E225" s="1" t="s">
        <v>105</v>
      </c>
      <c r="F225" s="1" t="s">
        <v>106</v>
      </c>
      <c r="G225" s="1" t="s">
        <v>46</v>
      </c>
      <c r="H225" s="1">
        <v>2</v>
      </c>
      <c r="I225" s="1">
        <v>299.99</v>
      </c>
      <c r="J225" s="1" t="s">
        <v>34</v>
      </c>
      <c r="K225" s="1" t="s">
        <v>35</v>
      </c>
      <c r="L225" s="1" t="s">
        <v>22</v>
      </c>
      <c r="M225" s="2">
        <v>44576</v>
      </c>
      <c r="N225" s="13">
        <f>data[[#This Row],[Quantity]]*data[[#This Row],[Unit_Price]]</f>
        <v>599.98</v>
      </c>
      <c r="O225" s="12">
        <f t="shared" ca="1" si="6"/>
        <v>4</v>
      </c>
      <c r="P225" s="10">
        <f t="shared" ca="1" si="7"/>
        <v>46308.73029861111</v>
      </c>
      <c r="Q225" s="11" t="str" cm="1">
        <f t="array" ref="Q225">_xlfn.TEXTJOIN("",TRUE,LEFT(_xlfn.TEXTSPLIT(data[[#This Row],[Customer_Name]]," "),1))</f>
        <v>VS</v>
      </c>
      <c r="R225" s="24">
        <f>EOMONTH(data[[#This Row],[Date]],0)</f>
        <v>45716</v>
      </c>
      <c r="S225" s="11">
        <f>MONTH(data[[#This Row],[Date]])</f>
        <v>2</v>
      </c>
    </row>
    <row r="226" spans="1:19" ht="15" thickBot="1">
      <c r="A226" s="3" t="s">
        <v>371</v>
      </c>
      <c r="B226" s="2">
        <v>45718</v>
      </c>
      <c r="C226" s="1" t="s">
        <v>55</v>
      </c>
      <c r="D226" s="1" t="s">
        <v>56</v>
      </c>
      <c r="E226" s="1" t="s">
        <v>44</v>
      </c>
      <c r="F226" s="1" t="s">
        <v>45</v>
      </c>
      <c r="G226" s="1" t="s">
        <v>46</v>
      </c>
      <c r="H226" s="1">
        <v>2</v>
      </c>
      <c r="I226" s="1">
        <v>149.99</v>
      </c>
      <c r="J226" s="1" t="s">
        <v>20</v>
      </c>
      <c r="K226" s="1" t="s">
        <v>21</v>
      </c>
      <c r="L226" s="1" t="s">
        <v>22</v>
      </c>
      <c r="M226" s="2">
        <v>45068</v>
      </c>
      <c r="N226" s="13">
        <f>data[[#This Row],[Quantity]]*data[[#This Row],[Unit_Price]]</f>
        <v>299.98</v>
      </c>
      <c r="O226" s="12">
        <f t="shared" ca="1" si="6"/>
        <v>3</v>
      </c>
      <c r="P226" s="10">
        <f t="shared" ca="1" si="7"/>
        <v>46308.73029861111</v>
      </c>
      <c r="Q226" s="11" t="str" cm="1">
        <f t="array" ref="Q226">_xlfn.TEXTJOIN("",TRUE,LEFT(_xlfn.TEXTSPLIT(data[[#This Row],[Customer_Name]]," "),1))</f>
        <v>CA</v>
      </c>
      <c r="R226" s="24">
        <f>EOMONTH(data[[#This Row],[Date]],0)</f>
        <v>45747</v>
      </c>
      <c r="S226" s="11">
        <f>MONTH(data[[#This Row],[Date]])</f>
        <v>3</v>
      </c>
    </row>
    <row r="227" spans="1:19" ht="15" thickBot="1">
      <c r="A227" s="3" t="s">
        <v>372</v>
      </c>
      <c r="B227" s="2">
        <v>45720</v>
      </c>
      <c r="C227" s="1" t="s">
        <v>226</v>
      </c>
      <c r="D227" s="1" t="s">
        <v>227</v>
      </c>
      <c r="E227" s="1" t="s">
        <v>80</v>
      </c>
      <c r="F227" s="1" t="s">
        <v>81</v>
      </c>
      <c r="G227" s="1" t="s">
        <v>19</v>
      </c>
      <c r="H227" s="1">
        <v>5</v>
      </c>
      <c r="I227" s="1">
        <v>699.99</v>
      </c>
      <c r="J227" s="1" t="s">
        <v>57</v>
      </c>
      <c r="K227" s="1" t="s">
        <v>63</v>
      </c>
      <c r="L227" s="1" t="s">
        <v>27</v>
      </c>
      <c r="M227" s="2">
        <v>45161</v>
      </c>
      <c r="N227" s="13">
        <f>data[[#This Row],[Quantity]]*data[[#This Row],[Unit_Price]]</f>
        <v>3499.95</v>
      </c>
      <c r="O227" s="12">
        <f t="shared" ca="1" si="6"/>
        <v>3</v>
      </c>
      <c r="P227" s="10">
        <f t="shared" ca="1" si="7"/>
        <v>46308.73029861111</v>
      </c>
      <c r="Q227" s="11" t="str" cm="1">
        <f t="array" ref="Q227">_xlfn.TEXTJOIN("",TRUE,LEFT(_xlfn.TEXTSPLIT(data[[#This Row],[Customer_Name]]," "),1))</f>
        <v>LR</v>
      </c>
      <c r="R227" s="24">
        <f>EOMONTH(data[[#This Row],[Date]],0)</f>
        <v>45747</v>
      </c>
      <c r="S227" s="11">
        <f>MONTH(data[[#This Row],[Date]])</f>
        <v>3</v>
      </c>
    </row>
    <row r="228" spans="1:19" ht="15" thickBot="1">
      <c r="A228" s="3" t="s">
        <v>373</v>
      </c>
      <c r="B228" s="2">
        <v>45721</v>
      </c>
      <c r="C228" s="1" t="s">
        <v>75</v>
      </c>
      <c r="D228" s="1" t="s">
        <v>76</v>
      </c>
      <c r="E228" s="1" t="s">
        <v>31</v>
      </c>
      <c r="F228" s="1" t="s">
        <v>32</v>
      </c>
      <c r="G228" s="1" t="s">
        <v>33</v>
      </c>
      <c r="H228" s="1">
        <v>5</v>
      </c>
      <c r="I228" s="1">
        <v>59.99</v>
      </c>
      <c r="J228" s="1" t="s">
        <v>20</v>
      </c>
      <c r="K228" s="1" t="s">
        <v>50</v>
      </c>
      <c r="L228" s="1" t="s">
        <v>27</v>
      </c>
      <c r="M228" s="2">
        <v>45291</v>
      </c>
      <c r="N228" s="13">
        <f>data[[#This Row],[Quantity]]*data[[#This Row],[Unit_Price]]</f>
        <v>299.95</v>
      </c>
      <c r="O228" s="12">
        <f t="shared" ca="1" si="6"/>
        <v>2</v>
      </c>
      <c r="P228" s="10">
        <f t="shared" ca="1" si="7"/>
        <v>46308.73029861111</v>
      </c>
      <c r="Q228" s="11" t="str" cm="1">
        <f t="array" ref="Q228">_xlfn.TEXTJOIN("",TRUE,LEFT(_xlfn.TEXTSPLIT(data[[#This Row],[Customer_Name]]," "),1))</f>
        <v>DG</v>
      </c>
      <c r="R228" s="24">
        <f>EOMONTH(data[[#This Row],[Date]],0)</f>
        <v>45747</v>
      </c>
      <c r="S228" s="11">
        <f>MONTH(data[[#This Row],[Date]])</f>
        <v>3</v>
      </c>
    </row>
    <row r="229" spans="1:19" ht="15" thickBot="1">
      <c r="A229" s="3" t="s">
        <v>374</v>
      </c>
      <c r="B229" s="2">
        <v>45723</v>
      </c>
      <c r="C229" s="1" t="s">
        <v>15</v>
      </c>
      <c r="D229" s="1" t="s">
        <v>16</v>
      </c>
      <c r="E229" s="1" t="s">
        <v>117</v>
      </c>
      <c r="F229" s="1" t="s">
        <v>118</v>
      </c>
      <c r="G229" s="1" t="s">
        <v>19</v>
      </c>
      <c r="H229" s="1">
        <v>2</v>
      </c>
      <c r="I229" s="1">
        <v>89.99</v>
      </c>
      <c r="J229" s="1" t="s">
        <v>26</v>
      </c>
      <c r="K229" s="1" t="s">
        <v>50</v>
      </c>
      <c r="L229" s="1" t="s">
        <v>27</v>
      </c>
      <c r="M229" s="2">
        <v>45295</v>
      </c>
      <c r="N229" s="13">
        <f>data[[#This Row],[Quantity]]*data[[#This Row],[Unit_Price]]</f>
        <v>179.98</v>
      </c>
      <c r="O229" s="12">
        <f t="shared" ca="1" si="6"/>
        <v>2</v>
      </c>
      <c r="P229" s="10">
        <f t="shared" ca="1" si="7"/>
        <v>46308.73029861111</v>
      </c>
      <c r="Q229" s="11" t="str" cm="1">
        <f t="array" ref="Q229">_xlfn.TEXTJOIN("",TRUE,LEFT(_xlfn.TEXTSPLIT(data[[#This Row],[Customer_Name]]," "),1))</f>
        <v>PB</v>
      </c>
      <c r="R229" s="24">
        <f>EOMONTH(data[[#This Row],[Date]],0)</f>
        <v>45747</v>
      </c>
      <c r="S229" s="11">
        <f>MONTH(data[[#This Row],[Date]])</f>
        <v>3</v>
      </c>
    </row>
    <row r="230" spans="1:19" ht="15" thickBot="1">
      <c r="A230" s="3" t="s">
        <v>375</v>
      </c>
      <c r="B230" s="2">
        <v>45723</v>
      </c>
      <c r="C230" s="1" t="s">
        <v>120</v>
      </c>
      <c r="D230" s="1" t="s">
        <v>121</v>
      </c>
      <c r="E230" s="1" t="s">
        <v>17</v>
      </c>
      <c r="F230" s="1" t="s">
        <v>18</v>
      </c>
      <c r="G230" s="1" t="s">
        <v>19</v>
      </c>
      <c r="H230" s="1">
        <v>5</v>
      </c>
      <c r="I230" s="1">
        <v>249.99</v>
      </c>
      <c r="J230" s="1" t="s">
        <v>20</v>
      </c>
      <c r="K230" s="1" t="s">
        <v>63</v>
      </c>
      <c r="L230" s="1" t="s">
        <v>36</v>
      </c>
      <c r="M230" s="2">
        <v>44540</v>
      </c>
      <c r="N230" s="13">
        <f>data[[#This Row],[Quantity]]*data[[#This Row],[Unit_Price]]</f>
        <v>1249.95</v>
      </c>
      <c r="O230" s="12">
        <f t="shared" ca="1" si="6"/>
        <v>4</v>
      </c>
      <c r="P230" s="10">
        <f t="shared" ca="1" si="7"/>
        <v>46308.73029861111</v>
      </c>
      <c r="Q230" s="11" t="str" cm="1">
        <f t="array" ref="Q230">_xlfn.TEXTJOIN("",TRUE,LEFT(_xlfn.TEXTSPLIT(data[[#This Row],[Customer_Name]]," "),1))</f>
        <v>HR</v>
      </c>
      <c r="R230" s="24">
        <f>EOMONTH(data[[#This Row],[Date]],0)</f>
        <v>45747</v>
      </c>
      <c r="S230" s="11">
        <f>MONTH(data[[#This Row],[Date]])</f>
        <v>3</v>
      </c>
    </row>
    <row r="231" spans="1:19" ht="15" thickBot="1">
      <c r="A231" s="3" t="s">
        <v>376</v>
      </c>
      <c r="B231" s="2">
        <v>45724</v>
      </c>
      <c r="C231" s="1" t="s">
        <v>226</v>
      </c>
      <c r="D231" s="1" t="s">
        <v>227</v>
      </c>
      <c r="E231" s="1" t="s">
        <v>44</v>
      </c>
      <c r="F231" s="1" t="s">
        <v>45</v>
      </c>
      <c r="G231" s="1" t="s">
        <v>46</v>
      </c>
      <c r="H231" s="1">
        <v>2</v>
      </c>
      <c r="I231" s="1">
        <v>149.99</v>
      </c>
      <c r="J231" s="1" t="s">
        <v>34</v>
      </c>
      <c r="K231" s="1" t="s">
        <v>21</v>
      </c>
      <c r="L231" s="1" t="s">
        <v>27</v>
      </c>
      <c r="M231" s="2">
        <v>44632</v>
      </c>
      <c r="N231" s="13">
        <f>data[[#This Row],[Quantity]]*data[[#This Row],[Unit_Price]]</f>
        <v>299.98</v>
      </c>
      <c r="O231" s="12">
        <f t="shared" ca="1" si="6"/>
        <v>4</v>
      </c>
      <c r="P231" s="10">
        <f t="shared" ca="1" si="7"/>
        <v>46308.73029861111</v>
      </c>
      <c r="Q231" s="11" t="str" cm="1">
        <f t="array" ref="Q231">_xlfn.TEXTJOIN("",TRUE,LEFT(_xlfn.TEXTSPLIT(data[[#This Row],[Customer_Name]]," "),1))</f>
        <v>LR</v>
      </c>
      <c r="R231" s="24">
        <f>EOMONTH(data[[#This Row],[Date]],0)</f>
        <v>45747</v>
      </c>
      <c r="S231" s="11">
        <f>MONTH(data[[#This Row],[Date]])</f>
        <v>3</v>
      </c>
    </row>
    <row r="232" spans="1:19" ht="15" thickBot="1">
      <c r="A232" s="3" t="s">
        <v>377</v>
      </c>
      <c r="B232" s="2">
        <v>45724</v>
      </c>
      <c r="C232" s="1" t="s">
        <v>144</v>
      </c>
      <c r="D232" s="1" t="s">
        <v>145</v>
      </c>
      <c r="E232" s="1" t="s">
        <v>61</v>
      </c>
      <c r="F232" s="1" t="s">
        <v>62</v>
      </c>
      <c r="G232" s="1" t="s">
        <v>19</v>
      </c>
      <c r="H232" s="1">
        <v>5</v>
      </c>
      <c r="I232" s="1">
        <v>899.99</v>
      </c>
      <c r="J232" s="1" t="s">
        <v>34</v>
      </c>
      <c r="K232" s="1" t="s">
        <v>63</v>
      </c>
      <c r="L232" s="1" t="s">
        <v>27</v>
      </c>
      <c r="M232" s="2">
        <v>45389</v>
      </c>
      <c r="N232" s="13">
        <f>data[[#This Row],[Quantity]]*data[[#This Row],[Unit_Price]]</f>
        <v>4499.95</v>
      </c>
      <c r="O232" s="12">
        <f t="shared" ca="1" si="6"/>
        <v>2</v>
      </c>
      <c r="P232" s="10">
        <f t="shared" ca="1" si="7"/>
        <v>46308.73029861111</v>
      </c>
      <c r="Q232" s="11" t="str" cm="1">
        <f t="array" ref="Q232">_xlfn.TEXTJOIN("",TRUE,LEFT(_xlfn.TEXTSPLIT(data[[#This Row],[Customer_Name]]," "),1))</f>
        <v>HM</v>
      </c>
      <c r="R232" s="24">
        <f>EOMONTH(data[[#This Row],[Date]],0)</f>
        <v>45747</v>
      </c>
      <c r="S232" s="11">
        <f>MONTH(data[[#This Row],[Date]])</f>
        <v>3</v>
      </c>
    </row>
    <row r="233" spans="1:19" ht="15" thickBot="1">
      <c r="A233" s="3" t="s">
        <v>378</v>
      </c>
      <c r="B233" s="2">
        <v>45724</v>
      </c>
      <c r="C233" s="1" t="s">
        <v>55</v>
      </c>
      <c r="D233" s="1" t="s">
        <v>56</v>
      </c>
      <c r="E233" s="1" t="s">
        <v>44</v>
      </c>
      <c r="F233" s="1" t="s">
        <v>45</v>
      </c>
      <c r="G233" s="1" t="s">
        <v>46</v>
      </c>
      <c r="H233" s="1">
        <v>4</v>
      </c>
      <c r="I233" s="1">
        <v>149.99</v>
      </c>
      <c r="J233" s="1" t="s">
        <v>20</v>
      </c>
      <c r="K233" s="1" t="s">
        <v>21</v>
      </c>
      <c r="L233" s="1" t="s">
        <v>36</v>
      </c>
      <c r="M233" s="2">
        <v>45263</v>
      </c>
      <c r="N233" s="13">
        <f>data[[#This Row],[Quantity]]*data[[#This Row],[Unit_Price]]</f>
        <v>599.96</v>
      </c>
      <c r="O233" s="12">
        <f t="shared" ca="1" si="6"/>
        <v>2</v>
      </c>
      <c r="P233" s="10">
        <f t="shared" ca="1" si="7"/>
        <v>46308.73029861111</v>
      </c>
      <c r="Q233" s="11" t="str" cm="1">
        <f t="array" ref="Q233">_xlfn.TEXTJOIN("",TRUE,LEFT(_xlfn.TEXTSPLIT(data[[#This Row],[Customer_Name]]," "),1))</f>
        <v>CA</v>
      </c>
      <c r="R233" s="24">
        <f>EOMONTH(data[[#This Row],[Date]],0)</f>
        <v>45747</v>
      </c>
      <c r="S233" s="11">
        <f>MONTH(data[[#This Row],[Date]])</f>
        <v>3</v>
      </c>
    </row>
    <row r="234" spans="1:19" ht="15" thickBot="1">
      <c r="A234" s="3" t="s">
        <v>379</v>
      </c>
      <c r="B234" s="2">
        <v>45726</v>
      </c>
      <c r="C234" s="1" t="s">
        <v>144</v>
      </c>
      <c r="D234" s="1" t="s">
        <v>145</v>
      </c>
      <c r="E234" s="1" t="s">
        <v>17</v>
      </c>
      <c r="F234" s="1" t="s">
        <v>18</v>
      </c>
      <c r="G234" s="1" t="s">
        <v>19</v>
      </c>
      <c r="H234" s="1">
        <v>1</v>
      </c>
      <c r="I234" s="1">
        <v>249.99</v>
      </c>
      <c r="J234" s="1" t="s">
        <v>20</v>
      </c>
      <c r="K234" s="1" t="s">
        <v>40</v>
      </c>
      <c r="L234" s="1" t="s">
        <v>36</v>
      </c>
      <c r="M234" s="2">
        <v>45117</v>
      </c>
      <c r="N234" s="13">
        <f>data[[#This Row],[Quantity]]*data[[#This Row],[Unit_Price]]</f>
        <v>249.99</v>
      </c>
      <c r="O234" s="12">
        <f t="shared" ca="1" si="6"/>
        <v>3</v>
      </c>
      <c r="P234" s="10">
        <f t="shared" ca="1" si="7"/>
        <v>46308.73029861111</v>
      </c>
      <c r="Q234" s="11" t="str" cm="1">
        <f t="array" ref="Q234">_xlfn.TEXTJOIN("",TRUE,LEFT(_xlfn.TEXTSPLIT(data[[#This Row],[Customer_Name]]," "),1))</f>
        <v>HM</v>
      </c>
      <c r="R234" s="24">
        <f>EOMONTH(data[[#This Row],[Date]],0)</f>
        <v>45747</v>
      </c>
      <c r="S234" s="11">
        <f>MONTH(data[[#This Row],[Date]])</f>
        <v>3</v>
      </c>
    </row>
    <row r="235" spans="1:19" ht="15" thickBot="1">
      <c r="A235" s="3" t="s">
        <v>380</v>
      </c>
      <c r="B235" s="2">
        <v>45734</v>
      </c>
      <c r="C235" s="1" t="s">
        <v>192</v>
      </c>
      <c r="D235" s="1" t="s">
        <v>193</v>
      </c>
      <c r="E235" s="1" t="s">
        <v>31</v>
      </c>
      <c r="F235" s="1" t="s">
        <v>32</v>
      </c>
      <c r="G235" s="1" t="s">
        <v>33</v>
      </c>
      <c r="H235" s="1">
        <v>2</v>
      </c>
      <c r="I235" s="1">
        <v>59.99</v>
      </c>
      <c r="J235" s="1" t="s">
        <v>26</v>
      </c>
      <c r="K235" s="1" t="s">
        <v>50</v>
      </c>
      <c r="L235" s="1" t="s">
        <v>22</v>
      </c>
      <c r="M235" s="2">
        <v>45193</v>
      </c>
      <c r="N235" s="13">
        <f>data[[#This Row],[Quantity]]*data[[#This Row],[Unit_Price]]</f>
        <v>119.98</v>
      </c>
      <c r="O235" s="12">
        <f t="shared" ca="1" si="6"/>
        <v>3</v>
      </c>
      <c r="P235" s="10">
        <f t="shared" ca="1" si="7"/>
        <v>46308.73029861111</v>
      </c>
      <c r="Q235" s="11" t="str" cm="1">
        <f t="array" ref="Q235">_xlfn.TEXTJOIN("",TRUE,LEFT(_xlfn.TEXTSPLIT(data[[#This Row],[Customer_Name]]," "),1))</f>
        <v>FT</v>
      </c>
      <c r="R235" s="24">
        <f>EOMONTH(data[[#This Row],[Date]],0)</f>
        <v>45747</v>
      </c>
      <c r="S235" s="11">
        <f>MONTH(data[[#This Row],[Date]])</f>
        <v>3</v>
      </c>
    </row>
    <row r="236" spans="1:19" ht="15" thickBot="1">
      <c r="A236" s="3" t="s">
        <v>381</v>
      </c>
      <c r="B236" s="2">
        <v>45737</v>
      </c>
      <c r="C236" s="1" t="s">
        <v>132</v>
      </c>
      <c r="D236" s="1" t="s">
        <v>133</v>
      </c>
      <c r="E236" s="1" t="s">
        <v>44</v>
      </c>
      <c r="F236" s="1" t="s">
        <v>45</v>
      </c>
      <c r="G236" s="1" t="s">
        <v>46</v>
      </c>
      <c r="H236" s="1">
        <v>2</v>
      </c>
      <c r="I236" s="1">
        <v>149.99</v>
      </c>
      <c r="J236" s="1" t="s">
        <v>20</v>
      </c>
      <c r="K236" s="1" t="s">
        <v>50</v>
      </c>
      <c r="L236" s="1" t="s">
        <v>27</v>
      </c>
      <c r="M236" s="2">
        <v>45233</v>
      </c>
      <c r="N236" s="13">
        <f>data[[#This Row],[Quantity]]*data[[#This Row],[Unit_Price]]</f>
        <v>299.98</v>
      </c>
      <c r="O236" s="12">
        <f t="shared" ca="1" si="6"/>
        <v>2</v>
      </c>
      <c r="P236" s="10">
        <f t="shared" ca="1" si="7"/>
        <v>46308.73029861111</v>
      </c>
      <c r="Q236" s="11" t="str" cm="1">
        <f t="array" ref="Q236">_xlfn.TEXTJOIN("",TRUE,LEFT(_xlfn.TEXTSPLIT(data[[#This Row],[Customer_Name]]," "),1))</f>
        <v>EW</v>
      </c>
      <c r="R236" s="24">
        <f>EOMONTH(data[[#This Row],[Date]],0)</f>
        <v>45747</v>
      </c>
      <c r="S236" s="11">
        <f>MONTH(data[[#This Row],[Date]])</f>
        <v>3</v>
      </c>
    </row>
    <row r="237" spans="1:19" ht="15" thickBot="1">
      <c r="A237" s="3" t="s">
        <v>382</v>
      </c>
      <c r="B237" s="2">
        <v>45737</v>
      </c>
      <c r="C237" s="1" t="s">
        <v>150</v>
      </c>
      <c r="D237" s="1" t="s">
        <v>151</v>
      </c>
      <c r="E237" s="1" t="s">
        <v>61</v>
      </c>
      <c r="F237" s="1" t="s">
        <v>62</v>
      </c>
      <c r="G237" s="1" t="s">
        <v>19</v>
      </c>
      <c r="H237" s="1">
        <v>3</v>
      </c>
      <c r="I237" s="1">
        <v>899.99</v>
      </c>
      <c r="J237" s="1" t="s">
        <v>57</v>
      </c>
      <c r="K237" s="1" t="s">
        <v>40</v>
      </c>
      <c r="L237" s="1" t="s">
        <v>27</v>
      </c>
      <c r="M237" s="2">
        <v>44876</v>
      </c>
      <c r="N237" s="13">
        <f>data[[#This Row],[Quantity]]*data[[#This Row],[Unit_Price]]</f>
        <v>2699.9700000000003</v>
      </c>
      <c r="O237" s="12">
        <f t="shared" ca="1" si="6"/>
        <v>3</v>
      </c>
      <c r="P237" s="10">
        <f t="shared" ca="1" si="7"/>
        <v>46308.73029861111</v>
      </c>
      <c r="Q237" s="11" t="str" cm="1">
        <f t="array" ref="Q237">_xlfn.TEXTJOIN("",TRUE,LEFT(_xlfn.TEXTSPLIT(data[[#This Row],[Customer_Name]]," "),1))</f>
        <v>SB</v>
      </c>
      <c r="R237" s="24">
        <f>EOMONTH(data[[#This Row],[Date]],0)</f>
        <v>45747</v>
      </c>
      <c r="S237" s="11">
        <f>MONTH(data[[#This Row],[Date]])</f>
        <v>3</v>
      </c>
    </row>
    <row r="238" spans="1:19" ht="15" thickBot="1">
      <c r="A238" s="3" t="s">
        <v>383</v>
      </c>
      <c r="B238" s="2">
        <v>45737</v>
      </c>
      <c r="C238" s="1" t="s">
        <v>48</v>
      </c>
      <c r="D238" s="1" t="s">
        <v>49</v>
      </c>
      <c r="E238" s="1" t="s">
        <v>61</v>
      </c>
      <c r="F238" s="1" t="s">
        <v>62</v>
      </c>
      <c r="G238" s="1" t="s">
        <v>19</v>
      </c>
      <c r="H238" s="1">
        <v>3</v>
      </c>
      <c r="I238" s="1">
        <v>899.99</v>
      </c>
      <c r="J238" s="1" t="s">
        <v>34</v>
      </c>
      <c r="K238" s="1" t="s">
        <v>40</v>
      </c>
      <c r="L238" s="1" t="s">
        <v>22</v>
      </c>
      <c r="M238" s="2">
        <v>44975</v>
      </c>
      <c r="N238" s="13">
        <f>data[[#This Row],[Quantity]]*data[[#This Row],[Unit_Price]]</f>
        <v>2699.9700000000003</v>
      </c>
      <c r="O238" s="12">
        <f t="shared" ca="1" si="6"/>
        <v>3</v>
      </c>
      <c r="P238" s="10">
        <f t="shared" ca="1" si="7"/>
        <v>46308.73029861111</v>
      </c>
      <c r="Q238" s="11" t="str" cm="1">
        <f t="array" ref="Q238">_xlfn.TEXTJOIN("",TRUE,LEFT(_xlfn.TEXTSPLIT(data[[#This Row],[Customer_Name]]," "),1))</f>
        <v>DN</v>
      </c>
      <c r="R238" s="24">
        <f>EOMONTH(data[[#This Row],[Date]],0)</f>
        <v>45747</v>
      </c>
      <c r="S238" s="11">
        <f>MONTH(data[[#This Row],[Date]])</f>
        <v>3</v>
      </c>
    </row>
    <row r="239" spans="1:19" ht="15" thickBot="1">
      <c r="A239" s="3" t="s">
        <v>384</v>
      </c>
      <c r="B239" s="2">
        <v>45739</v>
      </c>
      <c r="C239" s="1" t="s">
        <v>15</v>
      </c>
      <c r="D239" s="1" t="s">
        <v>16</v>
      </c>
      <c r="E239" s="1" t="s">
        <v>105</v>
      </c>
      <c r="F239" s="1" t="s">
        <v>106</v>
      </c>
      <c r="G239" s="1" t="s">
        <v>46</v>
      </c>
      <c r="H239" s="1">
        <v>3</v>
      </c>
      <c r="I239" s="1">
        <v>299.99</v>
      </c>
      <c r="J239" s="1" t="s">
        <v>26</v>
      </c>
      <c r="K239" s="1" t="s">
        <v>50</v>
      </c>
      <c r="L239" s="1" t="s">
        <v>27</v>
      </c>
      <c r="M239" s="2">
        <v>45234</v>
      </c>
      <c r="N239" s="13">
        <f>data[[#This Row],[Quantity]]*data[[#This Row],[Unit_Price]]</f>
        <v>899.97</v>
      </c>
      <c r="O239" s="12">
        <f t="shared" ca="1" si="6"/>
        <v>2</v>
      </c>
      <c r="P239" s="10">
        <f t="shared" ca="1" si="7"/>
        <v>46308.73029861111</v>
      </c>
      <c r="Q239" s="11" t="str" cm="1">
        <f t="array" ref="Q239">_xlfn.TEXTJOIN("",TRUE,LEFT(_xlfn.TEXTSPLIT(data[[#This Row],[Customer_Name]]," "),1))</f>
        <v>PB</v>
      </c>
      <c r="R239" s="24">
        <f>EOMONTH(data[[#This Row],[Date]],0)</f>
        <v>45747</v>
      </c>
      <c r="S239" s="11">
        <f>MONTH(data[[#This Row],[Date]])</f>
        <v>3</v>
      </c>
    </row>
    <row r="240" spans="1:19" ht="15" thickBot="1">
      <c r="A240" s="3" t="s">
        <v>385</v>
      </c>
      <c r="B240" s="2">
        <v>45740</v>
      </c>
      <c r="C240" s="1" t="s">
        <v>386</v>
      </c>
      <c r="D240" s="1" t="s">
        <v>387</v>
      </c>
      <c r="E240" s="1" t="s">
        <v>44</v>
      </c>
      <c r="F240" s="1" t="s">
        <v>45</v>
      </c>
      <c r="G240" s="1" t="s">
        <v>46</v>
      </c>
      <c r="H240" s="1">
        <v>4</v>
      </c>
      <c r="I240" s="1">
        <v>149.99</v>
      </c>
      <c r="J240" s="1" t="s">
        <v>34</v>
      </c>
      <c r="K240" s="1" t="s">
        <v>50</v>
      </c>
      <c r="L240" s="1" t="s">
        <v>36</v>
      </c>
      <c r="M240" s="2">
        <v>44560</v>
      </c>
      <c r="N240" s="13">
        <f>data[[#This Row],[Quantity]]*data[[#This Row],[Unit_Price]]</f>
        <v>599.96</v>
      </c>
      <c r="O240" s="12">
        <f t="shared" ca="1" si="6"/>
        <v>4</v>
      </c>
      <c r="P240" s="10">
        <f t="shared" ca="1" si="7"/>
        <v>46308.73029861111</v>
      </c>
      <c r="Q240" s="11" t="str" cm="1">
        <f t="array" ref="Q240">_xlfn.TEXTJOIN("",TRUE,LEFT(_xlfn.TEXTSPLIT(data[[#This Row],[Customer_Name]]," "),1))</f>
        <v>JS</v>
      </c>
      <c r="R240" s="24">
        <f>EOMONTH(data[[#This Row],[Date]],0)</f>
        <v>45747</v>
      </c>
      <c r="S240" s="11">
        <f>MONTH(data[[#This Row],[Date]])</f>
        <v>3</v>
      </c>
    </row>
    <row r="241" spans="1:19" ht="15" thickBot="1">
      <c r="A241" s="3" t="s">
        <v>388</v>
      </c>
      <c r="B241" s="2">
        <v>45743</v>
      </c>
      <c r="C241" s="1" t="s">
        <v>102</v>
      </c>
      <c r="D241" s="1" t="s">
        <v>103</v>
      </c>
      <c r="E241" s="1" t="s">
        <v>114</v>
      </c>
      <c r="F241" s="1" t="s">
        <v>115</v>
      </c>
      <c r="G241" s="1" t="s">
        <v>33</v>
      </c>
      <c r="H241" s="1">
        <v>4</v>
      </c>
      <c r="I241" s="1">
        <v>79.989999999999995</v>
      </c>
      <c r="J241" s="1" t="s">
        <v>26</v>
      </c>
      <c r="K241" s="1" t="s">
        <v>21</v>
      </c>
      <c r="L241" s="1" t="s">
        <v>22</v>
      </c>
      <c r="M241" s="2">
        <v>45288</v>
      </c>
      <c r="N241" s="13">
        <f>data[[#This Row],[Quantity]]*data[[#This Row],[Unit_Price]]</f>
        <v>319.95999999999998</v>
      </c>
      <c r="O241" s="12">
        <f t="shared" ca="1" si="6"/>
        <v>2</v>
      </c>
      <c r="P241" s="10">
        <f t="shared" ca="1" si="7"/>
        <v>46308.73029861111</v>
      </c>
      <c r="Q241" s="11" t="str" cm="1">
        <f t="array" ref="Q241">_xlfn.TEXTJOIN("",TRUE,LEFT(_xlfn.TEXTSPLIT(data[[#This Row],[Customer_Name]]," "),1))</f>
        <v>CP</v>
      </c>
      <c r="R241" s="24">
        <f>EOMONTH(data[[#This Row],[Date]],0)</f>
        <v>45747</v>
      </c>
      <c r="S241" s="11">
        <f>MONTH(data[[#This Row],[Date]])</f>
        <v>3</v>
      </c>
    </row>
    <row r="242" spans="1:19" ht="15" thickBot="1">
      <c r="A242" s="3" t="s">
        <v>389</v>
      </c>
      <c r="B242" s="2">
        <v>45745</v>
      </c>
      <c r="C242" s="1" t="s">
        <v>185</v>
      </c>
      <c r="D242" s="1" t="s">
        <v>186</v>
      </c>
      <c r="E242" s="1" t="s">
        <v>117</v>
      </c>
      <c r="F242" s="1" t="s">
        <v>118</v>
      </c>
      <c r="G242" s="1" t="s">
        <v>19</v>
      </c>
      <c r="H242" s="1">
        <v>5</v>
      </c>
      <c r="I242" s="1">
        <v>89.99</v>
      </c>
      <c r="J242" s="1" t="s">
        <v>34</v>
      </c>
      <c r="K242" s="1" t="s">
        <v>35</v>
      </c>
      <c r="L242" s="1" t="s">
        <v>22</v>
      </c>
      <c r="M242" s="2">
        <v>44704</v>
      </c>
      <c r="N242" s="13">
        <f>data[[#This Row],[Quantity]]*data[[#This Row],[Unit_Price]]</f>
        <v>449.95</v>
      </c>
      <c r="O242" s="12">
        <f t="shared" ca="1" si="6"/>
        <v>4</v>
      </c>
      <c r="P242" s="10">
        <f t="shared" ca="1" si="7"/>
        <v>46308.73029861111</v>
      </c>
      <c r="Q242" s="11" t="str" cm="1">
        <f t="array" ref="Q242">_xlfn.TEXTJOIN("",TRUE,LEFT(_xlfn.TEXTSPLIT(data[[#This Row],[Customer_Name]]," "),1))</f>
        <v>MW</v>
      </c>
      <c r="R242" s="24">
        <f>EOMONTH(data[[#This Row],[Date]],0)</f>
        <v>45747</v>
      </c>
      <c r="S242" s="11">
        <f>MONTH(data[[#This Row],[Date]])</f>
        <v>3</v>
      </c>
    </row>
    <row r="243" spans="1:19" ht="15" thickBot="1">
      <c r="A243" s="3" t="s">
        <v>390</v>
      </c>
      <c r="B243" s="2">
        <v>45746</v>
      </c>
      <c r="C243" s="1" t="s">
        <v>93</v>
      </c>
      <c r="D243" s="1" t="s">
        <v>94</v>
      </c>
      <c r="E243" s="1" t="s">
        <v>44</v>
      </c>
      <c r="F243" s="1" t="s">
        <v>45</v>
      </c>
      <c r="G243" s="1" t="s">
        <v>46</v>
      </c>
      <c r="H243" s="1">
        <v>3</v>
      </c>
      <c r="I243" s="1">
        <v>149.99</v>
      </c>
      <c r="J243" s="1" t="s">
        <v>34</v>
      </c>
      <c r="K243" s="1" t="s">
        <v>21</v>
      </c>
      <c r="L243" s="1" t="s">
        <v>36</v>
      </c>
      <c r="M243" s="2">
        <v>45171</v>
      </c>
      <c r="N243" s="13">
        <f>data[[#This Row],[Quantity]]*data[[#This Row],[Unit_Price]]</f>
        <v>449.97</v>
      </c>
      <c r="O243" s="12">
        <f t="shared" ca="1" si="6"/>
        <v>3</v>
      </c>
      <c r="P243" s="10">
        <f t="shared" ca="1" si="7"/>
        <v>46308.73029861111</v>
      </c>
      <c r="Q243" s="11" t="str" cm="1">
        <f t="array" ref="Q243">_xlfn.TEXTJOIN("",TRUE,LEFT(_xlfn.TEXTSPLIT(data[[#This Row],[Customer_Name]]," "),1))</f>
        <v>VS</v>
      </c>
      <c r="R243" s="24">
        <f>EOMONTH(data[[#This Row],[Date]],0)</f>
        <v>45747</v>
      </c>
      <c r="S243" s="11">
        <f>MONTH(data[[#This Row],[Date]])</f>
        <v>3</v>
      </c>
    </row>
    <row r="244" spans="1:19" ht="15" thickBot="1">
      <c r="A244" s="3" t="s">
        <v>391</v>
      </c>
      <c r="B244" s="2">
        <v>45746</v>
      </c>
      <c r="C244" s="1" t="s">
        <v>65</v>
      </c>
      <c r="D244" s="1" t="s">
        <v>66</v>
      </c>
      <c r="E244" s="1" t="s">
        <v>117</v>
      </c>
      <c r="F244" s="1" t="s">
        <v>118</v>
      </c>
      <c r="G244" s="1" t="s">
        <v>19</v>
      </c>
      <c r="H244" s="1">
        <v>2</v>
      </c>
      <c r="I244" s="1">
        <v>89.99</v>
      </c>
      <c r="J244" s="1" t="s">
        <v>57</v>
      </c>
      <c r="K244" s="1" t="s">
        <v>50</v>
      </c>
      <c r="L244" s="1" t="s">
        <v>27</v>
      </c>
      <c r="M244" s="2">
        <v>44522</v>
      </c>
      <c r="N244" s="13">
        <f>data[[#This Row],[Quantity]]*data[[#This Row],[Unit_Price]]</f>
        <v>179.98</v>
      </c>
      <c r="O244" s="12">
        <f t="shared" ca="1" si="6"/>
        <v>4</v>
      </c>
      <c r="P244" s="10">
        <f t="shared" ca="1" si="7"/>
        <v>46308.73029861111</v>
      </c>
      <c r="Q244" s="11" t="str" cm="1">
        <f t="array" ref="Q244">_xlfn.TEXTJOIN("",TRUE,LEFT(_xlfn.TEXTSPLIT(data[[#This Row],[Customer_Name]]," "),1))</f>
        <v>KH</v>
      </c>
      <c r="R244" s="24">
        <f>EOMONTH(data[[#This Row],[Date]],0)</f>
        <v>45747</v>
      </c>
      <c r="S244" s="11">
        <f>MONTH(data[[#This Row],[Date]])</f>
        <v>3</v>
      </c>
    </row>
    <row r="245" spans="1:19" ht="15" thickBot="1">
      <c r="A245" s="3" t="s">
        <v>392</v>
      </c>
      <c r="B245" s="2">
        <v>45748</v>
      </c>
      <c r="C245" s="1" t="s">
        <v>102</v>
      </c>
      <c r="D245" s="1" t="s">
        <v>103</v>
      </c>
      <c r="E245" s="1" t="s">
        <v>80</v>
      </c>
      <c r="F245" s="1" t="s">
        <v>81</v>
      </c>
      <c r="G245" s="1" t="s">
        <v>19</v>
      </c>
      <c r="H245" s="1">
        <v>2</v>
      </c>
      <c r="I245" s="1">
        <v>699.99</v>
      </c>
      <c r="J245" s="1" t="s">
        <v>34</v>
      </c>
      <c r="K245" s="1" t="s">
        <v>40</v>
      </c>
      <c r="L245" s="1" t="s">
        <v>36</v>
      </c>
      <c r="M245" s="2">
        <v>44618</v>
      </c>
      <c r="N245" s="13">
        <f>data[[#This Row],[Quantity]]*data[[#This Row],[Unit_Price]]</f>
        <v>1399.98</v>
      </c>
      <c r="O245" s="12">
        <f t="shared" ca="1" si="6"/>
        <v>4</v>
      </c>
      <c r="P245" s="10">
        <f t="shared" ca="1" si="7"/>
        <v>46308.73029861111</v>
      </c>
      <c r="Q245" s="11" t="str" cm="1">
        <f t="array" ref="Q245">_xlfn.TEXTJOIN("",TRUE,LEFT(_xlfn.TEXTSPLIT(data[[#This Row],[Customer_Name]]," "),1))</f>
        <v>CP</v>
      </c>
      <c r="R245" s="24">
        <f>EOMONTH(data[[#This Row],[Date]],0)</f>
        <v>45777</v>
      </c>
      <c r="S245" s="11">
        <f>MONTH(data[[#This Row],[Date]])</f>
        <v>4</v>
      </c>
    </row>
    <row r="246" spans="1:19" ht="15" thickBot="1">
      <c r="A246" s="3" t="s">
        <v>393</v>
      </c>
      <c r="B246" s="2">
        <v>45749</v>
      </c>
      <c r="C246" s="1" t="s">
        <v>123</v>
      </c>
      <c r="D246" s="1" t="s">
        <v>124</v>
      </c>
      <c r="E246" s="1" t="s">
        <v>61</v>
      </c>
      <c r="F246" s="1" t="s">
        <v>62</v>
      </c>
      <c r="G246" s="1" t="s">
        <v>19</v>
      </c>
      <c r="H246" s="1">
        <v>3</v>
      </c>
      <c r="I246" s="1">
        <v>899.99</v>
      </c>
      <c r="J246" s="1" t="s">
        <v>20</v>
      </c>
      <c r="K246" s="1" t="s">
        <v>21</v>
      </c>
      <c r="L246" s="1" t="s">
        <v>36</v>
      </c>
      <c r="M246" s="2">
        <v>44953</v>
      </c>
      <c r="N246" s="13">
        <f>data[[#This Row],[Quantity]]*data[[#This Row],[Unit_Price]]</f>
        <v>2699.9700000000003</v>
      </c>
      <c r="O246" s="12">
        <f t="shared" ca="1" si="6"/>
        <v>3</v>
      </c>
      <c r="P246" s="10">
        <f t="shared" ca="1" si="7"/>
        <v>46308.73029861111</v>
      </c>
      <c r="Q246" s="11" t="str" cm="1">
        <f t="array" ref="Q246">_xlfn.TEXTJOIN("",TRUE,LEFT(_xlfn.TEXTSPLIT(data[[#This Row],[Customer_Name]]," "),1))</f>
        <v>EM</v>
      </c>
      <c r="R246" s="24">
        <f>EOMONTH(data[[#This Row],[Date]],0)</f>
        <v>45777</v>
      </c>
      <c r="S246" s="11">
        <f>MONTH(data[[#This Row],[Date]])</f>
        <v>4</v>
      </c>
    </row>
    <row r="247" spans="1:19" ht="15" thickBot="1">
      <c r="A247" s="3" t="s">
        <v>394</v>
      </c>
      <c r="B247" s="2">
        <v>45755</v>
      </c>
      <c r="C247" s="1" t="s">
        <v>93</v>
      </c>
      <c r="D247" s="1" t="s">
        <v>94</v>
      </c>
      <c r="E247" s="1" t="s">
        <v>114</v>
      </c>
      <c r="F247" s="1" t="s">
        <v>115</v>
      </c>
      <c r="G247" s="1" t="s">
        <v>33</v>
      </c>
      <c r="H247" s="1">
        <v>3</v>
      </c>
      <c r="I247" s="1">
        <v>79.989999999999995</v>
      </c>
      <c r="J247" s="1" t="s">
        <v>26</v>
      </c>
      <c r="K247" s="1" t="s">
        <v>40</v>
      </c>
      <c r="L247" s="1" t="s">
        <v>22</v>
      </c>
      <c r="M247" s="2">
        <v>44511</v>
      </c>
      <c r="N247" s="13">
        <f>data[[#This Row],[Quantity]]*data[[#This Row],[Unit_Price]]</f>
        <v>239.96999999999997</v>
      </c>
      <c r="O247" s="12">
        <f t="shared" ca="1" si="6"/>
        <v>4</v>
      </c>
      <c r="P247" s="10">
        <f t="shared" ca="1" si="7"/>
        <v>46308.73029861111</v>
      </c>
      <c r="Q247" s="11" t="str" cm="1">
        <f t="array" ref="Q247">_xlfn.TEXTJOIN("",TRUE,LEFT(_xlfn.TEXTSPLIT(data[[#This Row],[Customer_Name]]," "),1))</f>
        <v>VS</v>
      </c>
      <c r="R247" s="24">
        <f>EOMONTH(data[[#This Row],[Date]],0)</f>
        <v>45777</v>
      </c>
      <c r="S247" s="11">
        <f>MONTH(data[[#This Row],[Date]])</f>
        <v>4</v>
      </c>
    </row>
    <row r="248" spans="1:19" ht="15" thickBot="1">
      <c r="A248" s="3" t="s">
        <v>395</v>
      </c>
      <c r="B248" s="2">
        <v>45756</v>
      </c>
      <c r="C248" s="1" t="s">
        <v>59</v>
      </c>
      <c r="D248" s="1" t="s">
        <v>60</v>
      </c>
      <c r="E248" s="1" t="s">
        <v>117</v>
      </c>
      <c r="F248" s="1" t="s">
        <v>118</v>
      </c>
      <c r="G248" s="1" t="s">
        <v>19</v>
      </c>
      <c r="H248" s="1">
        <v>1</v>
      </c>
      <c r="I248" s="1">
        <v>89.99</v>
      </c>
      <c r="J248" s="1" t="s">
        <v>57</v>
      </c>
      <c r="K248" s="1" t="s">
        <v>63</v>
      </c>
      <c r="L248" s="1" t="s">
        <v>22</v>
      </c>
      <c r="M248" s="2">
        <v>45346</v>
      </c>
      <c r="N248" s="13">
        <f>data[[#This Row],[Quantity]]*data[[#This Row],[Unit_Price]]</f>
        <v>89.99</v>
      </c>
      <c r="O248" s="12">
        <f t="shared" ca="1" si="6"/>
        <v>2</v>
      </c>
      <c r="P248" s="10">
        <f t="shared" ca="1" si="7"/>
        <v>46308.73029861111</v>
      </c>
      <c r="Q248" s="11" t="str" cm="1">
        <f t="array" ref="Q248">_xlfn.TEXTJOIN("",TRUE,LEFT(_xlfn.TEXTSPLIT(data[[#This Row],[Customer_Name]]," "),1))</f>
        <v>RT</v>
      </c>
      <c r="R248" s="24">
        <f>EOMONTH(data[[#This Row],[Date]],0)</f>
        <v>45777</v>
      </c>
      <c r="S248" s="11">
        <f>MONTH(data[[#This Row],[Date]])</f>
        <v>4</v>
      </c>
    </row>
    <row r="249" spans="1:19" ht="15" thickBot="1">
      <c r="A249" s="3" t="s">
        <v>396</v>
      </c>
      <c r="B249" s="2">
        <v>45758</v>
      </c>
      <c r="C249" s="1" t="s">
        <v>293</v>
      </c>
      <c r="D249" s="1" t="s">
        <v>294</v>
      </c>
      <c r="E249" s="1" t="s">
        <v>80</v>
      </c>
      <c r="F249" s="1" t="s">
        <v>81</v>
      </c>
      <c r="G249" s="1" t="s">
        <v>19</v>
      </c>
      <c r="H249" s="1">
        <v>3</v>
      </c>
      <c r="I249" s="1">
        <v>699.99</v>
      </c>
      <c r="J249" s="1" t="s">
        <v>34</v>
      </c>
      <c r="K249" s="1" t="s">
        <v>40</v>
      </c>
      <c r="L249" s="1" t="s">
        <v>22</v>
      </c>
      <c r="M249" s="2">
        <v>44909</v>
      </c>
      <c r="N249" s="13">
        <f>data[[#This Row],[Quantity]]*data[[#This Row],[Unit_Price]]</f>
        <v>2099.9700000000003</v>
      </c>
      <c r="O249" s="12">
        <f t="shared" ca="1" si="6"/>
        <v>3</v>
      </c>
      <c r="P249" s="10">
        <f t="shared" ca="1" si="7"/>
        <v>46308.73029861111</v>
      </c>
      <c r="Q249" s="11" t="str" cm="1">
        <f t="array" ref="Q249">_xlfn.TEXTJOIN("",TRUE,LEFT(_xlfn.TEXTSPLIT(data[[#This Row],[Customer_Name]]," "),1))</f>
        <v>DW</v>
      </c>
      <c r="R249" s="24">
        <f>EOMONTH(data[[#This Row],[Date]],0)</f>
        <v>45777</v>
      </c>
      <c r="S249" s="11">
        <f>MONTH(data[[#This Row],[Date]])</f>
        <v>4</v>
      </c>
    </row>
    <row r="250" spans="1:19" ht="15" thickBot="1">
      <c r="A250" s="3" t="s">
        <v>397</v>
      </c>
      <c r="B250" s="2">
        <v>45758</v>
      </c>
      <c r="C250" s="1" t="s">
        <v>226</v>
      </c>
      <c r="D250" s="1" t="s">
        <v>227</v>
      </c>
      <c r="E250" s="1" t="s">
        <v>117</v>
      </c>
      <c r="F250" s="1" t="s">
        <v>118</v>
      </c>
      <c r="G250" s="1" t="s">
        <v>19</v>
      </c>
      <c r="H250" s="1">
        <v>2</v>
      </c>
      <c r="I250" s="1">
        <v>89.99</v>
      </c>
      <c r="J250" s="1" t="s">
        <v>57</v>
      </c>
      <c r="K250" s="1" t="s">
        <v>63</v>
      </c>
      <c r="L250" s="1" t="s">
        <v>22</v>
      </c>
      <c r="M250" s="2">
        <v>45088</v>
      </c>
      <c r="N250" s="13">
        <f>data[[#This Row],[Quantity]]*data[[#This Row],[Unit_Price]]</f>
        <v>179.98</v>
      </c>
      <c r="O250" s="12">
        <f t="shared" ca="1" si="6"/>
        <v>3</v>
      </c>
      <c r="P250" s="10">
        <f t="shared" ca="1" si="7"/>
        <v>46308.73029861111</v>
      </c>
      <c r="Q250" s="11" t="str" cm="1">
        <f t="array" ref="Q250">_xlfn.TEXTJOIN("",TRUE,LEFT(_xlfn.TEXTSPLIT(data[[#This Row],[Customer_Name]]," "),1))</f>
        <v>LR</v>
      </c>
      <c r="R250" s="24">
        <f>EOMONTH(data[[#This Row],[Date]],0)</f>
        <v>45777</v>
      </c>
      <c r="S250" s="11">
        <f>MONTH(data[[#This Row],[Date]])</f>
        <v>4</v>
      </c>
    </row>
    <row r="251" spans="1:19" ht="15" thickBot="1">
      <c r="A251" s="7" t="s">
        <v>398</v>
      </c>
      <c r="B251" s="8">
        <v>45758</v>
      </c>
      <c r="C251" s="9" t="s">
        <v>138</v>
      </c>
      <c r="D251" s="9" t="s">
        <v>139</v>
      </c>
      <c r="E251" s="9" t="s">
        <v>117</v>
      </c>
      <c r="F251" s="9" t="s">
        <v>118</v>
      </c>
      <c r="G251" s="9" t="s">
        <v>19</v>
      </c>
      <c r="H251" s="9">
        <v>3</v>
      </c>
      <c r="I251" s="9">
        <v>89.99</v>
      </c>
      <c r="J251" s="9" t="s">
        <v>57</v>
      </c>
      <c r="K251" s="9" t="s">
        <v>40</v>
      </c>
      <c r="L251" s="9" t="s">
        <v>27</v>
      </c>
      <c r="M251" s="8">
        <v>44878</v>
      </c>
      <c r="N251" s="13">
        <f>data[[#This Row],[Quantity]]*data[[#This Row],[Unit_Price]]</f>
        <v>269.96999999999997</v>
      </c>
      <c r="O251" s="12">
        <f t="shared" ca="1" si="6"/>
        <v>3</v>
      </c>
      <c r="P251" s="10">
        <f t="shared" ca="1" si="7"/>
        <v>46308.73029861111</v>
      </c>
      <c r="Q251" s="11" t="str" cm="1">
        <f t="array" ref="Q251">_xlfn.TEXTJOIN("",TRUE,LEFT(_xlfn.TEXTSPLIT(data[[#This Row],[Customer_Name]]," "),1))</f>
        <v>ST</v>
      </c>
      <c r="R251" s="24">
        <f>EOMONTH(data[[#This Row],[Date]],0)</f>
        <v>45777</v>
      </c>
      <c r="S251" s="11">
        <f>MONTH(data[[#This Row],[Date]])</f>
        <v>4</v>
      </c>
    </row>
  </sheetData>
  <conditionalFormatting sqref="L2:L251">
    <cfRule type="containsText" dxfId="0" priority="1" operator="containsText" text="Premium">
      <formula>NOT(ISERROR(SEARCH("Premium",L2)))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2" id="{446803DF-6159-459E-A189-72BAE15D4AC9}">
            <x14:iconSet iconSet="3Triangles">
              <x14:cfvo type="percent">
                <xm:f>0</xm:f>
              </x14:cfvo>
              <x14:cfvo type="num">
                <xm:f>500</xm:f>
              </x14:cfvo>
              <x14:cfvo type="num">
                <xm:f>3000</xm:f>
              </x14:cfvo>
            </x14:iconSet>
          </x14:cfRule>
          <xm:sqref>N2:N251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F7B3-5D55-44FC-BCEA-400C9D0D60E9}">
  <dimension ref="A1:S51"/>
  <sheetViews>
    <sheetView workbookViewId="0">
      <selection activeCell="B6" sqref="B6"/>
    </sheetView>
  </sheetViews>
  <sheetFormatPr defaultRowHeight="14.4"/>
  <cols>
    <col min="1" max="1" width="22.88671875" bestFit="1" customWidth="1"/>
    <col min="2" max="2" width="20.6640625" customWidth="1"/>
    <col min="3" max="3" width="15.6640625" customWidth="1"/>
    <col min="4" max="4" width="22.33203125" bestFit="1" customWidth="1"/>
    <col min="5" max="5" width="15.109375" bestFit="1" customWidth="1"/>
    <col min="6" max="6" width="18.5546875" customWidth="1"/>
    <col min="7" max="7" width="33.44140625" customWidth="1"/>
    <col min="8" max="8" width="8.44140625" customWidth="1"/>
    <col min="9" max="9" width="16.21875" bestFit="1" customWidth="1"/>
    <col min="10" max="10" width="14.77734375" bestFit="1" customWidth="1"/>
    <col min="11" max="11" width="12.44140625" customWidth="1"/>
    <col min="13" max="13" width="11" customWidth="1"/>
    <col min="14" max="14" width="14" customWidth="1"/>
    <col min="15" max="15" width="14.21875" customWidth="1"/>
    <col min="16" max="16" width="11.77734375" customWidth="1"/>
    <col min="17" max="17" width="14.77734375" customWidth="1"/>
    <col min="18" max="18" width="25.88671875" bestFit="1" customWidth="1"/>
    <col min="19" max="19" width="12.109375" bestFit="1" customWidth="1"/>
    <col min="21" max="21" width="22.33203125" bestFit="1" customWidth="1"/>
    <col min="22" max="22" width="11.77734375" bestFit="1" customWidth="1"/>
  </cols>
  <sheetData>
    <row r="1" spans="1:19" ht="21.6" thickBot="1">
      <c r="A1" s="90" t="s">
        <v>415</v>
      </c>
      <c r="B1" s="89"/>
      <c r="D1" s="14" t="s">
        <v>407</v>
      </c>
      <c r="E1" s="14" t="s">
        <v>401</v>
      </c>
      <c r="F1" s="14" t="s">
        <v>460</v>
      </c>
      <c r="G1" s="14" t="s">
        <v>414</v>
      </c>
      <c r="I1" s="84" t="s">
        <v>410</v>
      </c>
      <c r="J1" s="85"/>
      <c r="K1" s="85"/>
      <c r="N1" s="14" t="s">
        <v>411</v>
      </c>
      <c r="O1" s="14" t="s">
        <v>412</v>
      </c>
      <c r="Q1" s="86" t="s">
        <v>413</v>
      </c>
      <c r="R1" s="87"/>
      <c r="S1" s="87"/>
    </row>
    <row r="2" spans="1:19" ht="15" thickBot="1">
      <c r="A2" s="23" t="s">
        <v>401</v>
      </c>
      <c r="B2" s="22">
        <f>SUM(Data!N:N)</f>
        <v>229192.47000000032</v>
      </c>
      <c r="D2" s="15" t="str" cm="1">
        <f t="array" ref="D2:D51">_xlfn.UNIQUE(data[Customer_Name])</f>
        <v>Paul Baker</v>
      </c>
      <c r="E2" s="16">
        <f>SUMIF(data[Customer_Name],Analysis!D2,data[Total_Amount])</f>
        <v>8309.739999999998</v>
      </c>
      <c r="F2" s="15">
        <f>COUNTIF(data[Customer_Name],Analysis!D2)</f>
        <v>8</v>
      </c>
      <c r="G2" s="15" t="str" cm="1">
        <f t="array" ref="G2">_xlfn.TEXTJOIN("",TRUE,LEFT(_xlfn.TEXTSPLIT(D2," "),1))</f>
        <v>PB</v>
      </c>
      <c r="I2" s="21" t="s">
        <v>408</v>
      </c>
      <c r="J2" s="21" t="s">
        <v>407</v>
      </c>
      <c r="K2" s="21" t="s">
        <v>409</v>
      </c>
      <c r="N2" s="15" t="str" cm="1">
        <f t="array" ref="N2:N11">_xlfn.UNIQUE(data[Product_Name])</f>
        <v>Monitor</v>
      </c>
      <c r="O2" s="15">
        <f>SUMIF(data[Product_Name],Analysis!N2,data[Quantity])</f>
        <v>88</v>
      </c>
      <c r="Q2" s="21" t="s">
        <v>408</v>
      </c>
      <c r="R2" s="21" t="s">
        <v>411</v>
      </c>
      <c r="S2" s="21" t="s">
        <v>412</v>
      </c>
    </row>
    <row r="3" spans="1:19" ht="15" thickBot="1">
      <c r="A3" s="23" t="s">
        <v>402</v>
      </c>
      <c r="B3" s="19">
        <f>COUNTA(data[Transaction_ID])</f>
        <v>250</v>
      </c>
      <c r="D3" s="15" t="str">
        <v>Joseph Jackson</v>
      </c>
      <c r="E3" s="16">
        <f>SUMIF(data[Customer_Name],Analysis!D3,data[Total_Amount])</f>
        <v>6949.84</v>
      </c>
      <c r="F3" s="15">
        <f>COUNTIF(data[Customer_Name],Analysis!D3)</f>
        <v>5</v>
      </c>
      <c r="G3" s="15" t="str" cm="1">
        <f t="array" ref="G3">_xlfn.TEXTJOIN("",TRUE,LEFT(_xlfn.TEXTSPLIT(D3," "),1))</f>
        <v>JJ</v>
      </c>
      <c r="I3" s="15">
        <v>1</v>
      </c>
      <c r="J3" s="15" t="str">
        <f t="shared" ref="J3:J12" si="0">_xlfn.XLOOKUP(K3,$E$2:$E$51,$D$2:$D$51)</f>
        <v>Mark Carter</v>
      </c>
      <c r="K3" s="16">
        <f t="shared" ref="K3:K12" si="1">LARGE(E2:E51,I3)</f>
        <v>15659.65</v>
      </c>
      <c r="N3" s="15" t="str">
        <v>Blender</v>
      </c>
      <c r="O3" s="15">
        <f>SUMIF(data[Product_Name],Analysis!N3,data[Quantity])</f>
        <v>87</v>
      </c>
      <c r="Q3" s="15">
        <v>1</v>
      </c>
      <c r="R3" s="15" t="str">
        <f>_xlfn.XLOOKUP(S3,O2:O11,$N$2:$N$11)</f>
        <v>Bookshelf</v>
      </c>
      <c r="S3" s="15">
        <f>LARGE($O$2:$O$11,Q3)</f>
        <v>102</v>
      </c>
    </row>
    <row r="4" spans="1:19" ht="15" thickBot="1">
      <c r="A4" s="23" t="s">
        <v>403</v>
      </c>
      <c r="B4" s="19">
        <f>SUM(data[Quantity])</f>
        <v>753</v>
      </c>
      <c r="D4" s="15" t="str">
        <v>Kevin Scott</v>
      </c>
      <c r="E4" s="16">
        <f>SUMIF(data[Customer_Name],Analysis!D4,data[Total_Amount])</f>
        <v>3259.87</v>
      </c>
      <c r="F4" s="15">
        <f>COUNTIF(data[Customer_Name],Analysis!D4)</f>
        <v>6</v>
      </c>
      <c r="G4" s="15" t="str" cm="1">
        <f t="array" ref="G4">_xlfn.TEXTJOIN("",TRUE,LEFT(_xlfn.TEXTSPLIT(D4," "),1))</f>
        <v>KS</v>
      </c>
      <c r="I4" s="15">
        <v>2</v>
      </c>
      <c r="J4" s="15" t="str">
        <f t="shared" si="0"/>
        <v>Edward Mitchell</v>
      </c>
      <c r="K4" s="16">
        <f t="shared" si="1"/>
        <v>11919.77</v>
      </c>
      <c r="N4" s="15" t="str">
        <v>Bookshelf</v>
      </c>
      <c r="O4" s="15">
        <f>SUMIF(data[Product_Name],Analysis!N4,data[Quantity])</f>
        <v>102</v>
      </c>
      <c r="Q4" s="15">
        <v>2</v>
      </c>
      <c r="R4" s="15" t="str">
        <f>_xlfn.XLOOKUP(S4,O3:O12,$N$2:$N$11)</f>
        <v>Laptop</v>
      </c>
      <c r="S4" s="15">
        <f t="shared" ref="S4:S5" si="2">LARGE($O$2:$O$11,Q4)</f>
        <v>96</v>
      </c>
    </row>
    <row r="5" spans="1:19" ht="15" thickBot="1">
      <c r="A5" s="23" t="s">
        <v>404</v>
      </c>
      <c r="B5" s="22">
        <f>AVERAGE(data[Total_Amount])</f>
        <v>916.76988000000131</v>
      </c>
      <c r="D5" s="15" t="str">
        <v>Kathleen Bennett</v>
      </c>
      <c r="E5" s="16">
        <f>SUMIF(data[Customer_Name],Analysis!D5,data[Total_Amount])</f>
        <v>4309.8100000000004</v>
      </c>
      <c r="F5" s="15">
        <f>COUNTIF(data[Customer_Name],Analysis!D5)</f>
        <v>6</v>
      </c>
      <c r="G5" s="15" t="str" cm="1">
        <f t="array" ref="G5">_xlfn.TEXTJOIN("",TRUE,LEFT(_xlfn.TEXTSPLIT(D5," "),1))</f>
        <v>KB</v>
      </c>
      <c r="I5" s="15">
        <v>3</v>
      </c>
      <c r="J5" s="15" t="str">
        <f t="shared" si="0"/>
        <v>Barbara Young</v>
      </c>
      <c r="K5" s="16">
        <f t="shared" si="1"/>
        <v>10649.8</v>
      </c>
      <c r="N5" s="15" t="str">
        <v>Headphones</v>
      </c>
      <c r="O5" s="15">
        <f>SUMIF(data[Product_Name],Analysis!N5,data[Quantity])</f>
        <v>47</v>
      </c>
      <c r="Q5" s="15">
        <v>3</v>
      </c>
      <c r="R5" s="15" t="str">
        <f>_xlfn.XLOOKUP(S5,O4:O13,$N$2:$N$11)</f>
        <v>Desk</v>
      </c>
      <c r="S5" s="15">
        <f t="shared" si="2"/>
        <v>89</v>
      </c>
    </row>
    <row r="6" spans="1:19" ht="15" thickBot="1">
      <c r="A6" s="23" t="s">
        <v>405</v>
      </c>
      <c r="B6" s="22">
        <f>MAX(data[Total_Amount])</f>
        <v>4499.95</v>
      </c>
      <c r="D6" s="15" t="str">
        <v>Michael Brown</v>
      </c>
      <c r="E6" s="16">
        <f>SUMIF(data[Customer_Name],Analysis!D6,data[Total_Amount])</f>
        <v>6169.7400000000007</v>
      </c>
      <c r="F6" s="15">
        <f>COUNTIF(data[Customer_Name],Analysis!D6)</f>
        <v>9</v>
      </c>
      <c r="G6" s="15" t="str" cm="1">
        <f t="array" ref="G6">_xlfn.TEXTJOIN("",TRUE,LEFT(_xlfn.TEXTSPLIT(D6," "),1))</f>
        <v>MB</v>
      </c>
      <c r="I6" s="15">
        <v>4</v>
      </c>
      <c r="J6" s="15" t="str">
        <f t="shared" si="0"/>
        <v>Patricia Moore</v>
      </c>
      <c r="K6" s="16">
        <f t="shared" si="1"/>
        <v>9799.73</v>
      </c>
      <c r="L6" s="18"/>
      <c r="N6" s="15" t="str">
        <v>Laptop</v>
      </c>
      <c r="O6" s="15">
        <f>SUMIF(data[Product_Name],Analysis!N6,data[Quantity])</f>
        <v>75</v>
      </c>
    </row>
    <row r="7" spans="1:19" ht="15" thickBot="1">
      <c r="A7" s="23" t="s">
        <v>406</v>
      </c>
      <c r="B7" s="22">
        <f>MIN(data[Total_Amount])</f>
        <v>59.99</v>
      </c>
      <c r="D7" s="15" t="str">
        <v>Dorothy Nelson</v>
      </c>
      <c r="E7" s="16">
        <f>SUMIF(data[Customer_Name],Analysis!D7,data[Total_Amount])</f>
        <v>8269.7900000000009</v>
      </c>
      <c r="F7" s="15">
        <f>COUNTIF(data[Customer_Name],Analysis!D7)</f>
        <v>6</v>
      </c>
      <c r="G7" s="15" t="str" cm="1">
        <f t="array" ref="G7">_xlfn.TEXTJOIN("",TRUE,LEFT(_xlfn.TEXTSPLIT(D7," "),1))</f>
        <v>DN</v>
      </c>
      <c r="I7" s="15">
        <v>5</v>
      </c>
      <c r="J7" s="15" t="str">
        <f t="shared" si="0"/>
        <v>Dorothy Nelson</v>
      </c>
      <c r="K7" s="16">
        <f t="shared" si="1"/>
        <v>8269.7900000000009</v>
      </c>
      <c r="L7" s="18"/>
      <c r="N7" s="15" t="str">
        <v>Smartphone</v>
      </c>
      <c r="O7" s="15">
        <f>SUMIF(data[Product_Name],Analysis!N7,data[Quantity])</f>
        <v>96</v>
      </c>
    </row>
    <row r="8" spans="1:19" ht="15" thickBot="1">
      <c r="D8" s="15" t="str">
        <v>Charles Allen</v>
      </c>
      <c r="E8" s="16">
        <f>SUMIF(data[Customer_Name],Analysis!D8,data[Total_Amount])</f>
        <v>5089.7300000000005</v>
      </c>
      <c r="F8" s="15">
        <f>COUNTIF(data[Customer_Name],Analysis!D8)</f>
        <v>9</v>
      </c>
      <c r="G8" s="15" t="str" cm="1">
        <f t="array" ref="G8">_xlfn.TEXTJOIN("",TRUE,LEFT(_xlfn.TEXTSPLIT(D8," "),1))</f>
        <v>CA</v>
      </c>
      <c r="I8" s="15">
        <v>6</v>
      </c>
      <c r="J8" s="15" t="str">
        <f t="shared" si="0"/>
        <v>Karen Hill</v>
      </c>
      <c r="K8" s="16">
        <f t="shared" si="1"/>
        <v>8009.7699999999995</v>
      </c>
      <c r="L8" s="18"/>
      <c r="N8" s="15" t="str">
        <v>Desk</v>
      </c>
      <c r="O8" s="15">
        <f>SUMIF(data[Product_Name],Analysis!N8,data[Quantity])</f>
        <v>78</v>
      </c>
    </row>
    <row r="9" spans="1:19" ht="15" thickBot="1">
      <c r="D9" s="15" t="str">
        <v>Robert Thomas</v>
      </c>
      <c r="E9" s="16">
        <f>SUMIF(data[Customer_Name],Analysis!D9,data[Total_Amount])</f>
        <v>3509.8999999999996</v>
      </c>
      <c r="F9" s="15">
        <f>COUNTIF(data[Customer_Name],Analysis!D9)</f>
        <v>5</v>
      </c>
      <c r="G9" s="15" t="str" cm="1">
        <f t="array" ref="G9">_xlfn.TEXTJOIN("",TRUE,LEFT(_xlfn.TEXTSPLIT(D9," "),1))</f>
        <v>RT</v>
      </c>
      <c r="I9" s="15">
        <v>7</v>
      </c>
      <c r="J9" s="15" t="str">
        <f t="shared" si="0"/>
        <v>Lawrence Reed</v>
      </c>
      <c r="K9" s="16">
        <f t="shared" si="1"/>
        <v>6989.7699999999986</v>
      </c>
      <c r="L9" s="18"/>
      <c r="N9" s="15" t="str">
        <v>Coffee Maker</v>
      </c>
      <c r="O9" s="15">
        <f>SUMIF(data[Product_Name],Analysis!N9,data[Quantity])</f>
        <v>39</v>
      </c>
    </row>
    <row r="10" spans="1:19" ht="18.600000000000001" thickBot="1">
      <c r="A10" s="26" t="s">
        <v>417</v>
      </c>
      <c r="B10" s="26" t="s">
        <v>418</v>
      </c>
      <c r="D10" s="15" t="str">
        <v>Karen Hill</v>
      </c>
      <c r="E10" s="16">
        <f>SUMIF(data[Customer_Name],Analysis!D10,data[Total_Amount])</f>
        <v>8009.7699999999995</v>
      </c>
      <c r="F10" s="15">
        <f>COUNTIF(data[Customer_Name],Analysis!D10)</f>
        <v>8</v>
      </c>
      <c r="G10" s="15" t="str" cm="1">
        <f t="array" ref="G10">_xlfn.TEXTJOIN("",TRUE,LEFT(_xlfn.TEXTSPLIT(D10," "),1))</f>
        <v>KH</v>
      </c>
      <c r="I10" s="15">
        <v>8</v>
      </c>
      <c r="J10" s="15" t="str">
        <f t="shared" si="0"/>
        <v>Helen Roberts</v>
      </c>
      <c r="K10" s="16">
        <f t="shared" si="1"/>
        <v>6459.79</v>
      </c>
      <c r="L10" s="18"/>
      <c r="N10" s="15" t="str">
        <v>Keyboard</v>
      </c>
      <c r="O10" s="15">
        <f>SUMIF(data[Product_Name],Analysis!N10,data[Quantity])</f>
        <v>89</v>
      </c>
    </row>
    <row r="11" spans="1:19" ht="15" thickBot="1">
      <c r="A11" s="25" t="str" cm="1">
        <f t="array" ref="A11:A14">_xlfn.UNIQUE(data[Payment_Method])</f>
        <v>Cash</v>
      </c>
      <c r="B11" s="16">
        <f>SUMIF(data[Payment_Method],Analysis!A11,data[Total_Amount])</f>
        <v>57427.790000000023</v>
      </c>
      <c r="D11" s="15" t="str">
        <v>Susan Green</v>
      </c>
      <c r="E11" s="16">
        <f>SUMIF(data[Customer_Name],Analysis!D11,data[Total_Amount])</f>
        <v>1979.89</v>
      </c>
      <c r="F11" s="15">
        <f>COUNTIF(data[Customer_Name],Analysis!D11)</f>
        <v>4</v>
      </c>
      <c r="G11" s="15" t="str" cm="1">
        <f t="array" ref="G11">_xlfn.TEXTJOIN("",TRUE,LEFT(_xlfn.TEXTSPLIT(D11," "),1))</f>
        <v>SG</v>
      </c>
      <c r="I11" s="15">
        <v>9</v>
      </c>
      <c r="J11" s="15" t="str">
        <f t="shared" si="0"/>
        <v>Gerald Murphy</v>
      </c>
      <c r="K11" s="16">
        <f t="shared" si="1"/>
        <v>6379.87</v>
      </c>
      <c r="L11" s="18"/>
      <c r="N11" s="15" t="str">
        <v>Office Chair</v>
      </c>
      <c r="O11" s="15">
        <f>SUMIF(data[Product_Name],Analysis!N11,data[Quantity])</f>
        <v>52</v>
      </c>
    </row>
    <row r="12" spans="1:19" ht="15" thickBot="1">
      <c r="A12" s="25" t="str">
        <v>Credit Card</v>
      </c>
      <c r="B12" s="16">
        <f>SUMIF(data[Payment_Method],Analysis!A12,data[Total_Amount])</f>
        <v>61447.960000000014</v>
      </c>
      <c r="D12" s="15" t="str">
        <v>Peter Richardson</v>
      </c>
      <c r="E12" s="16">
        <f>SUMIF(data[Customer_Name],Analysis!D12,data[Total_Amount])</f>
        <v>5949.85</v>
      </c>
      <c r="F12" s="15">
        <f>COUNTIF(data[Customer_Name],Analysis!D12)</f>
        <v>5</v>
      </c>
      <c r="G12" s="15" t="str" cm="1">
        <f t="array" ref="G12">_xlfn.TEXTJOIN("",TRUE,LEFT(_xlfn.TEXTSPLIT(D12," "),1))</f>
        <v>PR</v>
      </c>
      <c r="I12" s="15">
        <v>10</v>
      </c>
      <c r="J12" s="15" t="str">
        <f t="shared" si="0"/>
        <v>Peter Richardson</v>
      </c>
      <c r="K12" s="16">
        <f t="shared" si="1"/>
        <v>5949.85</v>
      </c>
      <c r="L12" s="18"/>
      <c r="R12" s="49"/>
    </row>
    <row r="13" spans="1:19" ht="15" thickBot="1">
      <c r="A13" s="25" t="str">
        <v>PayPal</v>
      </c>
      <c r="B13" s="16">
        <f>SUMIF(data[Payment_Method],Analysis!A13,data[Total_Amount])</f>
        <v>58198.409999999996</v>
      </c>
      <c r="D13" s="15" t="str">
        <v>Dennis Gray</v>
      </c>
      <c r="E13" s="16">
        <f>SUMIF(data[Customer_Name],Analysis!D13,data[Total_Amount])</f>
        <v>479.91999999999996</v>
      </c>
      <c r="F13" s="15">
        <f>COUNTIF(data[Customer_Name],Analysis!D13)</f>
        <v>2</v>
      </c>
      <c r="G13" s="15" t="str" cm="1">
        <f t="array" ref="G13">_xlfn.TEXTJOIN("",TRUE,LEFT(_xlfn.TEXTSPLIT(D13," "),1))</f>
        <v>DG</v>
      </c>
      <c r="R13" s="49"/>
    </row>
    <row r="14" spans="1:19" ht="15" thickBot="1">
      <c r="A14" s="25" t="str">
        <v>Debit Card</v>
      </c>
      <c r="B14" s="16">
        <f>SUMIF(data[Payment_Method],Analysis!A14,data[Total_Amount])</f>
        <v>52118.310000000005</v>
      </c>
      <c r="D14" s="15" t="str">
        <v>Michelle Rogers</v>
      </c>
      <c r="E14" s="16">
        <f>SUMIF(data[Customer_Name],Analysis!D14,data[Total_Amount])</f>
        <v>4199.9400000000005</v>
      </c>
      <c r="F14" s="15">
        <f>COUNTIF(data[Customer_Name],Analysis!D14)</f>
        <v>2</v>
      </c>
      <c r="G14" s="15" t="str" cm="1">
        <f t="array" ref="G14">_xlfn.TEXTJOIN("",TRUE,LEFT(_xlfn.TEXTSPLIT(D14," "),1))</f>
        <v>MR</v>
      </c>
    </row>
    <row r="15" spans="1:19" ht="15" thickBot="1">
      <c r="A15" s="25" t="s">
        <v>419</v>
      </c>
      <c r="B15" s="16">
        <f>SUM(B11:B14)</f>
        <v>229192.47000000003</v>
      </c>
      <c r="D15" s="15" t="str">
        <v>George Adams</v>
      </c>
      <c r="E15" s="16">
        <f>SUMIF(data[Customer_Name],Analysis!D15,data[Total_Amount])</f>
        <v>3779.93</v>
      </c>
      <c r="F15" s="15">
        <f>COUNTIF(data[Customer_Name],Analysis!D15)</f>
        <v>3</v>
      </c>
      <c r="G15" s="15" t="str" cm="1">
        <f t="array" ref="G15">_xlfn.TEXTJOIN("",TRUE,LEFT(_xlfn.TEXTSPLIT(D15," "),1))</f>
        <v>GA</v>
      </c>
    </row>
    <row r="16" spans="1:19" ht="18.600000000000001" thickBot="1">
      <c r="D16" s="15" t="str">
        <v>Mark Carter</v>
      </c>
      <c r="E16" s="16">
        <f>SUMIF(data[Customer_Name],Analysis!D16,data[Total_Amount])</f>
        <v>15659.65</v>
      </c>
      <c r="F16" s="15">
        <f>COUNTIF(data[Customer_Name],Analysis!D16)</f>
        <v>12</v>
      </c>
      <c r="G16" s="15" t="str" cm="1">
        <f t="array" ref="G16">_xlfn.TEXTJOIN("",TRUE,LEFT(_xlfn.TEXTSPLIT(D16," "),1))</f>
        <v>MC</v>
      </c>
      <c r="I16" s="88" t="s">
        <v>463</v>
      </c>
      <c r="J16" s="88"/>
      <c r="K16" s="88"/>
      <c r="N16" s="83" t="s">
        <v>471</v>
      </c>
      <c r="O16" s="83"/>
      <c r="P16" s="83"/>
      <c r="Q16" s="83"/>
    </row>
    <row r="17" spans="1:17" ht="15" thickBot="1">
      <c r="D17" s="15" t="str">
        <v>Maria Garcia</v>
      </c>
      <c r="E17" s="16">
        <f>SUMIF(data[Customer_Name],Analysis!D17,data[Total_Amount])</f>
        <v>1909.93</v>
      </c>
      <c r="F17" s="15">
        <f>COUNTIF(data[Customer_Name],Analysis!D17)</f>
        <v>4</v>
      </c>
      <c r="G17" s="15" t="str" cm="1">
        <f t="array" ref="G17">_xlfn.TEXTJOIN("",TRUE,LEFT(_xlfn.TEXTSPLIT(D17," "),1))</f>
        <v>MG</v>
      </c>
      <c r="I17" s="17" t="str" cm="1">
        <f t="array" ref="I17:K36">_xlfn._xlws.FILTER(D2:F51,E2:E51 &gt; 5000)</f>
        <v>Paul Baker</v>
      </c>
      <c r="J17" s="20">
        <v>8309.739999999998</v>
      </c>
      <c r="K17" s="17">
        <v>8</v>
      </c>
      <c r="N17" s="52" t="s">
        <v>472</v>
      </c>
      <c r="O17" s="52" t="s">
        <v>473</v>
      </c>
      <c r="P17" s="52" t="s">
        <v>474</v>
      </c>
      <c r="Q17" s="53" t="s">
        <v>486</v>
      </c>
    </row>
    <row r="18" spans="1:17" ht="18.600000000000001" thickBot="1">
      <c r="A18" s="81" t="s">
        <v>458</v>
      </c>
      <c r="B18" s="82"/>
      <c r="D18" s="15" t="str">
        <v>Virginia Sanders</v>
      </c>
      <c r="E18" s="16">
        <f>SUMIF(data[Customer_Name],Analysis!D18,data[Total_Amount])</f>
        <v>4789.7900000000009</v>
      </c>
      <c r="F18" s="15">
        <f>COUNTIF(data[Customer_Name],Analysis!D18)</f>
        <v>6</v>
      </c>
      <c r="G18" s="15" t="str" cm="1">
        <f t="array" ref="G18">_xlfn.TEXTJOIN("",TRUE,LEFT(_xlfn.TEXTSPLIT(D18," "),1))</f>
        <v>VS</v>
      </c>
      <c r="I18" s="17" t="str">
        <v>Joseph Jackson</v>
      </c>
      <c r="J18" s="20">
        <v>6949.84</v>
      </c>
      <c r="K18" s="17">
        <v>5</v>
      </c>
      <c r="N18" s="50" t="s">
        <v>475</v>
      </c>
      <c r="O18" s="50" t="s">
        <v>476</v>
      </c>
      <c r="P18" s="50" t="s">
        <v>475</v>
      </c>
      <c r="Q18" s="51" t="str" cm="1">
        <f t="array" ref="Q18:Q21">_xlfn._xlws.FILTER(N18:N24,(COUNTIF(O18:O24,N18:N24)) * (COUNTIF(P18:P24,N18:N24)) &gt; 0)</f>
        <v>Arjun</v>
      </c>
    </row>
    <row r="19" spans="1:17" ht="16.2" thickBot="1">
      <c r="A19" s="44" t="s">
        <v>401</v>
      </c>
      <c r="B19" s="45">
        <f>SUM(Data!N:N)</f>
        <v>229192.47000000032</v>
      </c>
      <c r="D19" s="15" t="str">
        <v>Barbara Young</v>
      </c>
      <c r="E19" s="16">
        <f>SUMIF(data[Customer_Name],Analysis!D19,data[Total_Amount])</f>
        <v>10649.8</v>
      </c>
      <c r="F19" s="15">
        <f>COUNTIF(data[Customer_Name],Analysis!D19)</f>
        <v>5</v>
      </c>
      <c r="G19" s="15" t="str" cm="1">
        <f t="array" ref="G19">_xlfn.TEXTJOIN("",TRUE,LEFT(_xlfn.TEXTSPLIT(D19," "),1))</f>
        <v>BY</v>
      </c>
      <c r="I19" s="17" t="str">
        <v>Michael Brown</v>
      </c>
      <c r="J19" s="20">
        <v>6169.7400000000007</v>
      </c>
      <c r="K19" s="17">
        <v>9</v>
      </c>
      <c r="N19" s="50" t="s">
        <v>477</v>
      </c>
      <c r="O19" s="50" t="s">
        <v>475</v>
      </c>
      <c r="P19" s="50" t="s">
        <v>477</v>
      </c>
      <c r="Q19" s="51" t="str">
        <v>Meera</v>
      </c>
    </row>
    <row r="20" spans="1:17" ht="15" thickBot="1">
      <c r="A20" s="43">
        <v>0.1</v>
      </c>
      <c r="B20" s="16">
        <f t="shared" ref="B20" si="3">$B$19*(1+A20)</f>
        <v>252111.71700000038</v>
      </c>
      <c r="D20" s="15" t="str">
        <v>Patricia Moore</v>
      </c>
      <c r="E20" s="16">
        <f>SUMIF(data[Customer_Name],Analysis!D20,data[Total_Amount])</f>
        <v>9799.73</v>
      </c>
      <c r="F20" s="15">
        <f>COUNTIF(data[Customer_Name],Analysis!D20)</f>
        <v>8</v>
      </c>
      <c r="G20" s="15" t="str" cm="1">
        <f t="array" ref="G20">_xlfn.TEXTJOIN("",TRUE,LEFT(_xlfn.TEXTSPLIT(D20," "),1))</f>
        <v>PM</v>
      </c>
      <c r="I20" s="17" t="str">
        <v>Dorothy Nelson</v>
      </c>
      <c r="J20" s="20">
        <v>8269.7900000000009</v>
      </c>
      <c r="K20" s="17">
        <v>6</v>
      </c>
      <c r="N20" s="50" t="s">
        <v>478</v>
      </c>
      <c r="O20" s="50" t="s">
        <v>479</v>
      </c>
      <c r="P20" s="50" t="s">
        <v>478</v>
      </c>
      <c r="Q20" s="51" t="str">
        <v>Rohan</v>
      </c>
    </row>
    <row r="21" spans="1:17" ht="15" thickBot="1">
      <c r="D21" s="15" t="str">
        <v>Cynthia Price</v>
      </c>
      <c r="E21" s="16">
        <f>SUMIF(data[Customer_Name],Analysis!D21,data[Total_Amount])</f>
        <v>3769.8300000000004</v>
      </c>
      <c r="F21" s="15">
        <f>COUNTIF(data[Customer_Name],Analysis!D21)</f>
        <v>5</v>
      </c>
      <c r="G21" s="15" t="str" cm="1">
        <f t="array" ref="G21">_xlfn.TEXTJOIN("",TRUE,LEFT(_xlfn.TEXTSPLIT(D21," "),1))</f>
        <v>CP</v>
      </c>
      <c r="I21" s="17" t="str">
        <v>Charles Allen</v>
      </c>
      <c r="J21" s="20">
        <v>5089.7300000000005</v>
      </c>
      <c r="K21" s="17">
        <v>9</v>
      </c>
      <c r="N21" s="50" t="s">
        <v>479</v>
      </c>
      <c r="O21" s="50" t="s">
        <v>480</v>
      </c>
      <c r="P21" s="50" t="s">
        <v>479</v>
      </c>
      <c r="Q21" s="51" t="str">
        <v>Ananya</v>
      </c>
    </row>
    <row r="22" spans="1:17" ht="15" thickBot="1">
      <c r="D22" s="15" t="str">
        <v>Nancy Collins</v>
      </c>
      <c r="E22" s="16">
        <f>SUMIF(data[Customer_Name],Analysis!D22,data[Total_Amount])</f>
        <v>4189.7700000000004</v>
      </c>
      <c r="F22" s="15">
        <f>COUNTIF(data[Customer_Name],Analysis!D22)</f>
        <v>6</v>
      </c>
      <c r="G22" s="15" t="str" cm="1">
        <f t="array" ref="G22">_xlfn.TEXTJOIN("",TRUE,LEFT(_xlfn.TEXTSPLIT(D22," "),1))</f>
        <v>NC</v>
      </c>
      <c r="I22" s="17" t="str">
        <v>Karen Hill</v>
      </c>
      <c r="J22" s="20">
        <v>8009.7699999999995</v>
      </c>
      <c r="K22" s="17">
        <v>8</v>
      </c>
      <c r="N22" s="50" t="s">
        <v>480</v>
      </c>
      <c r="O22" s="50" t="s">
        <v>481</v>
      </c>
      <c r="P22" s="50" t="s">
        <v>480</v>
      </c>
      <c r="Q22" s="47"/>
    </row>
    <row r="23" spans="1:17" ht="18.600000000000001" thickBot="1">
      <c r="A23" s="81" t="s">
        <v>461</v>
      </c>
      <c r="B23" s="82"/>
      <c r="D23" s="15" t="str">
        <v>Linda Martin</v>
      </c>
      <c r="E23" s="16">
        <f>SUMIF(data[Customer_Name],Analysis!D23,data[Total_Amount])</f>
        <v>1289.9000000000001</v>
      </c>
      <c r="F23" s="15">
        <f>COUNTIF(data[Customer_Name],Analysis!D23)</f>
        <v>4</v>
      </c>
      <c r="G23" s="15" t="str" cm="1">
        <f t="array" ref="G23">_xlfn.TEXTJOIN("",TRUE,LEFT(_xlfn.TEXTSPLIT(D23," "),1))</f>
        <v>LM</v>
      </c>
      <c r="I23" s="17" t="str">
        <v>Peter Richardson</v>
      </c>
      <c r="J23" s="20">
        <v>5949.85</v>
      </c>
      <c r="K23" s="17">
        <v>5</v>
      </c>
      <c r="N23" s="50" t="s">
        <v>482</v>
      </c>
      <c r="O23" s="50" t="s">
        <v>482</v>
      </c>
      <c r="P23" s="50" t="s">
        <v>482</v>
      </c>
      <c r="Q23" s="47"/>
    </row>
    <row r="24" spans="1:17" ht="15" thickBot="1">
      <c r="A24" s="43" t="s">
        <v>459</v>
      </c>
      <c r="B24" s="16">
        <f>SUM(Data!N:N)</f>
        <v>229192.47000000032</v>
      </c>
      <c r="D24" s="15" t="str">
        <v>Helen Roberts</v>
      </c>
      <c r="E24" s="16">
        <f>SUMIF(data[Customer_Name],Analysis!D24,data[Total_Amount])</f>
        <v>6459.79</v>
      </c>
      <c r="F24" s="15">
        <f>COUNTIF(data[Customer_Name],Analysis!D24)</f>
        <v>7</v>
      </c>
      <c r="G24" s="15" t="str" cm="1">
        <f t="array" ref="G24">_xlfn.TEXTJOIN("",TRUE,LEFT(_xlfn.TEXTSPLIT(D24," "),1))</f>
        <v>HR</v>
      </c>
      <c r="I24" s="17" t="str">
        <v>Mark Carter</v>
      </c>
      <c r="J24" s="20">
        <v>15659.65</v>
      </c>
      <c r="K24" s="17">
        <v>12</v>
      </c>
      <c r="N24" s="50" t="s">
        <v>483</v>
      </c>
      <c r="O24" s="50" t="s">
        <v>484</v>
      </c>
      <c r="P24" s="50" t="s">
        <v>485</v>
      </c>
      <c r="Q24" s="47"/>
    </row>
    <row r="25" spans="1:17" ht="15" thickBot="1">
      <c r="A25" s="43" t="s">
        <v>420</v>
      </c>
      <c r="B25" s="42">
        <v>0.52710078127784721</v>
      </c>
      <c r="D25" s="15" t="str">
        <v>Edward Mitchell</v>
      </c>
      <c r="E25" s="16">
        <f>SUMIF(data[Customer_Name],Analysis!D25,data[Total_Amount])</f>
        <v>11919.77</v>
      </c>
      <c r="F25" s="15">
        <f>COUNTIF(data[Customer_Name],Analysis!D25)</f>
        <v>6</v>
      </c>
      <c r="G25" s="15" t="str" cm="1">
        <f t="array" ref="G25">_xlfn.TEXTJOIN("",TRUE,LEFT(_xlfn.TEXTSPLIT(D25," "),1))</f>
        <v>EM</v>
      </c>
      <c r="I25" s="17" t="str">
        <v>Barbara Young</v>
      </c>
      <c r="J25" s="20">
        <v>10649.8</v>
      </c>
      <c r="K25" s="17">
        <v>5</v>
      </c>
    </row>
    <row r="26" spans="1:17" ht="15" thickBot="1">
      <c r="A26" s="43" t="s">
        <v>421</v>
      </c>
      <c r="B26" s="16">
        <f>B24*(1+B25)</f>
        <v>350000.00000000006</v>
      </c>
      <c r="D26" s="15" t="str">
        <v>Lisa Anderson</v>
      </c>
      <c r="E26" s="16">
        <f>SUMIF(data[Customer_Name],Analysis!D26,data[Total_Amount])</f>
        <v>2039.8000000000002</v>
      </c>
      <c r="F26" s="15">
        <f>COUNTIF(data[Customer_Name],Analysis!D26)</f>
        <v>5</v>
      </c>
      <c r="G26" s="15" t="str" cm="1">
        <f t="array" ref="G26">_xlfn.TEXTJOIN("",TRUE,LEFT(_xlfn.TEXTSPLIT(D26," "),1))</f>
        <v>LA</v>
      </c>
      <c r="I26" s="17" t="str">
        <v>Patricia Moore</v>
      </c>
      <c r="J26" s="20">
        <v>9799.73</v>
      </c>
      <c r="K26" s="17">
        <v>8</v>
      </c>
    </row>
    <row r="27" spans="1:17" ht="15" thickBot="1">
      <c r="D27" s="15" t="str">
        <v>Emma Wilson</v>
      </c>
      <c r="E27" s="16">
        <f>SUMIF(data[Customer_Name],Analysis!D27,data[Total_Amount])</f>
        <v>1229.8800000000001</v>
      </c>
      <c r="F27" s="15">
        <f>COUNTIF(data[Customer_Name],Analysis!D27)</f>
        <v>5</v>
      </c>
      <c r="G27" s="15" t="str" cm="1">
        <f t="array" ref="G27">_xlfn.TEXTJOIN("",TRUE,LEFT(_xlfn.TEXTSPLIT(D27," "),1))</f>
        <v>EW</v>
      </c>
      <c r="I27" s="17" t="str">
        <v>Helen Roberts</v>
      </c>
      <c r="J27" s="20">
        <v>6459.79</v>
      </c>
      <c r="K27" s="17">
        <v>7</v>
      </c>
    </row>
    <row r="28" spans="1:17" ht="15" thickBot="1">
      <c r="D28" s="15" t="str">
        <v>Steven Turner</v>
      </c>
      <c r="E28" s="16">
        <f>SUMIF(data[Customer_Name],Analysis!D28,data[Total_Amount])</f>
        <v>2649.83</v>
      </c>
      <c r="F28" s="15">
        <f>COUNTIF(data[Customer_Name],Analysis!D28)</f>
        <v>6</v>
      </c>
      <c r="G28" s="15" t="str" cm="1">
        <f t="array" ref="G28">_xlfn.TEXTJOIN("",TRUE,LEFT(_xlfn.TEXTSPLIT(D28," "),1))</f>
        <v>ST</v>
      </c>
      <c r="I28" s="17" t="str">
        <v>Edward Mitchell</v>
      </c>
      <c r="J28" s="20">
        <v>11919.77</v>
      </c>
      <c r="K28" s="17">
        <v>6</v>
      </c>
    </row>
    <row r="29" spans="1:17" ht="15" thickBot="1">
      <c r="D29" s="15" t="str">
        <v>Jennifer Taylor</v>
      </c>
      <c r="E29" s="16">
        <f>SUMIF(data[Customer_Name],Analysis!D29,data[Total_Amount])</f>
        <v>4739.8500000000004</v>
      </c>
      <c r="F29" s="15">
        <f>COUNTIF(data[Customer_Name],Analysis!D29)</f>
        <v>4</v>
      </c>
      <c r="G29" s="15" t="str" cm="1">
        <f t="array" ref="G29">_xlfn.TEXTJOIN("",TRUE,LEFT(_xlfn.TEXTSPLIT(D29," "),1))</f>
        <v>JT</v>
      </c>
      <c r="I29" s="17" t="str">
        <v>Harry Morgan</v>
      </c>
      <c r="J29" s="20">
        <v>5519.8899999999994</v>
      </c>
      <c r="K29" s="17">
        <v>4</v>
      </c>
    </row>
    <row r="30" spans="1:17" ht="15" thickBot="1">
      <c r="D30" s="15" t="str">
        <v>Harry Morgan</v>
      </c>
      <c r="E30" s="16">
        <f>SUMIF(data[Customer_Name],Analysis!D30,data[Total_Amount])</f>
        <v>5519.8899999999994</v>
      </c>
      <c r="F30" s="15">
        <f>COUNTIF(data[Customer_Name],Analysis!D30)</f>
        <v>4</v>
      </c>
      <c r="G30" s="15" t="str" cm="1">
        <f t="array" ref="G30">_xlfn.TEXTJOIN("",TRUE,LEFT(_xlfn.TEXTSPLIT(D30," "),1))</f>
        <v>HM</v>
      </c>
      <c r="I30" s="17" t="str">
        <v>Daniel King</v>
      </c>
      <c r="J30" s="20">
        <v>7309.7999999999993</v>
      </c>
      <c r="K30" s="17">
        <v>7</v>
      </c>
    </row>
    <row r="31" spans="1:17" ht="15" thickBot="1">
      <c r="D31" s="15" t="str">
        <v>Daniel King</v>
      </c>
      <c r="E31" s="16">
        <f>SUMIF(data[Customer_Name],Analysis!D31,data[Total_Amount])</f>
        <v>7309.7999999999993</v>
      </c>
      <c r="F31" s="15">
        <f>COUNTIF(data[Customer_Name],Analysis!D31)</f>
        <v>7</v>
      </c>
      <c r="G31" s="15" t="str" cm="1">
        <f t="array" ref="G31">_xlfn.TEXTJOIN("",TRUE,LEFT(_xlfn.TEXTSPLIT(D31," "),1))</f>
        <v>DK</v>
      </c>
      <c r="I31" s="17" t="str">
        <v>Sharon Butler</v>
      </c>
      <c r="J31" s="20">
        <v>5619.87</v>
      </c>
      <c r="K31" s="17">
        <v>6</v>
      </c>
    </row>
    <row r="32" spans="1:17" ht="15" thickBot="1">
      <c r="D32" s="15" t="str">
        <v>Sharon Butler</v>
      </c>
      <c r="E32" s="16">
        <f>SUMIF(data[Customer_Name],Analysis!D32,data[Total_Amount])</f>
        <v>5619.87</v>
      </c>
      <c r="F32" s="15">
        <f>COUNTIF(data[Customer_Name],Analysis!D32)</f>
        <v>6</v>
      </c>
      <c r="G32" s="15" t="str" cm="1">
        <f t="array" ref="G32">_xlfn.TEXTJOIN("",TRUE,LEFT(_xlfn.TEXTSPLIT(D32," "),1))</f>
        <v>SB</v>
      </c>
      <c r="I32" s="17" t="str">
        <v>Sarah Davis</v>
      </c>
      <c r="J32" s="20">
        <v>5499.81</v>
      </c>
      <c r="K32" s="17">
        <v>5</v>
      </c>
    </row>
    <row r="33" spans="4:11" ht="15" thickBot="1">
      <c r="D33" s="15" t="str">
        <v>Sarah Davis</v>
      </c>
      <c r="E33" s="16">
        <f>SUMIF(data[Customer_Name],Analysis!D33,data[Total_Amount])</f>
        <v>5499.81</v>
      </c>
      <c r="F33" s="15">
        <f>COUNTIF(data[Customer_Name],Analysis!D33)</f>
        <v>5</v>
      </c>
      <c r="G33" s="15" t="str" cm="1">
        <f t="array" ref="G33">_xlfn.TEXTJOIN("",TRUE,LEFT(_xlfn.TEXTSPLIT(D33," "),1))</f>
        <v>SD</v>
      </c>
      <c r="I33" s="17" t="str">
        <v>Betty Campbell</v>
      </c>
      <c r="J33" s="20">
        <v>5649.84</v>
      </c>
      <c r="K33" s="17">
        <v>5</v>
      </c>
    </row>
    <row r="34" spans="4:11" ht="15" thickBot="1">
      <c r="D34" s="15" t="str">
        <v>Betty Campbell</v>
      </c>
      <c r="E34" s="16">
        <f>SUMIF(data[Customer_Name],Analysis!D34,data[Total_Amount])</f>
        <v>5649.84</v>
      </c>
      <c r="F34" s="15">
        <f>COUNTIF(data[Customer_Name],Analysis!D34)</f>
        <v>5</v>
      </c>
      <c r="G34" s="15" t="str" cm="1">
        <f t="array" ref="G34">_xlfn.TEXTJOIN("",TRUE,LEFT(_xlfn.TEXTSPLIT(D34," "),1))</f>
        <v>BC</v>
      </c>
      <c r="I34" s="17" t="str">
        <v>Gerald Murphy</v>
      </c>
      <c r="J34" s="20">
        <v>6379.87</v>
      </c>
      <c r="K34" s="17">
        <v>4</v>
      </c>
    </row>
    <row r="35" spans="4:11" ht="15" thickBot="1">
      <c r="D35" s="15" t="str">
        <v>Julie Foster</v>
      </c>
      <c r="E35" s="16">
        <f>SUMIF(data[Customer_Name],Analysis!D35,data[Total_Amount])</f>
        <v>239.96</v>
      </c>
      <c r="F35" s="15">
        <f>COUNTIF(data[Customer_Name],Analysis!D35)</f>
        <v>1</v>
      </c>
      <c r="G35" s="15" t="str" cm="1">
        <f t="array" ref="G35">_xlfn.TEXTJOIN("",TRUE,LEFT(_xlfn.TEXTSPLIT(D35," "),1))</f>
        <v>JF</v>
      </c>
      <c r="I35" s="17" t="str">
        <v>Lawrence Reed</v>
      </c>
      <c r="J35" s="20">
        <v>6989.7699999999986</v>
      </c>
      <c r="K35" s="17">
        <v>8</v>
      </c>
    </row>
    <row r="36" spans="4:11" ht="15" thickBot="1">
      <c r="D36" s="15" t="str">
        <v>Raymond Ross</v>
      </c>
      <c r="E36" s="16">
        <f>SUMIF(data[Customer_Name],Analysis!D36,data[Total_Amount])</f>
        <v>3669.85</v>
      </c>
      <c r="F36" s="15">
        <f>COUNTIF(data[Customer_Name],Analysis!D36)</f>
        <v>4</v>
      </c>
      <c r="G36" s="15" t="str" cm="1">
        <f t="array" ref="G36">_xlfn.TEXTJOIN("",TRUE,LEFT(_xlfn.TEXTSPLIT(D36," "),1))</f>
        <v>RR</v>
      </c>
      <c r="I36" s="17" t="str">
        <v>Sandra Phillips</v>
      </c>
      <c r="J36" s="20">
        <v>6349.8300000000008</v>
      </c>
      <c r="K36" s="17">
        <v>5</v>
      </c>
    </row>
    <row r="37" spans="4:11" ht="15" thickBot="1">
      <c r="D37" s="15" t="str">
        <v>David Martinez</v>
      </c>
      <c r="E37" s="16">
        <f>SUMIF(data[Customer_Name],Analysis!D37,data[Total_Amount])</f>
        <v>1809.84</v>
      </c>
      <c r="F37" s="15">
        <f>COUNTIF(data[Customer_Name],Analysis!D37)</f>
        <v>6</v>
      </c>
      <c r="G37" s="15" t="str" cm="1">
        <f t="array" ref="G37">_xlfn.TEXTJOIN("",TRUE,LEFT(_xlfn.TEXTSPLIT(D37," "),1))</f>
        <v>DM</v>
      </c>
    </row>
    <row r="38" spans="4:11" ht="15" thickBot="1">
      <c r="D38" s="15" t="str">
        <v>Margaret Wright</v>
      </c>
      <c r="E38" s="16">
        <f>SUMIF(data[Customer_Name],Analysis!D38,data[Total_Amount])</f>
        <v>2099.88</v>
      </c>
      <c r="F38" s="15">
        <f>COUNTIF(data[Customer_Name],Analysis!D38)</f>
        <v>4</v>
      </c>
      <c r="G38" s="15" t="str" cm="1">
        <f t="array" ref="G38">_xlfn.TEXTJOIN("",TRUE,LEFT(_xlfn.TEXTSPLIT(D38," "),1))</f>
        <v>MW</v>
      </c>
    </row>
    <row r="39" spans="4:11" ht="15" thickBot="1">
      <c r="D39" s="15" t="str">
        <v>Frank Torres</v>
      </c>
      <c r="E39" s="16">
        <f>SUMIF(data[Customer_Name],Analysis!D39,data[Total_Amount])</f>
        <v>1479.91</v>
      </c>
      <c r="F39" s="15">
        <f>COUNTIF(data[Customer_Name],Analysis!D39)</f>
        <v>5</v>
      </c>
      <c r="G39" s="15" t="str" cm="1">
        <f t="array" ref="G39">_xlfn.TEXTJOIN("",TRUE,LEFT(_xlfn.TEXTSPLIT(D39," "),1))</f>
        <v>FT</v>
      </c>
    </row>
    <row r="40" spans="4:11" ht="15" thickBot="1">
      <c r="D40" s="15" t="str">
        <v>Gerald Murphy</v>
      </c>
      <c r="E40" s="16">
        <f>SUMIF(data[Customer_Name],Analysis!D40,data[Total_Amount])</f>
        <v>6379.87</v>
      </c>
      <c r="F40" s="15">
        <f>COUNTIF(data[Customer_Name],Analysis!D40)</f>
        <v>4</v>
      </c>
      <c r="G40" s="15" t="str" cm="1">
        <f t="array" ref="G40">_xlfn.TEXTJOIN("",TRUE,LEFT(_xlfn.TEXTSPLIT(D40," "),1))</f>
        <v>GM</v>
      </c>
    </row>
    <row r="41" spans="4:11" ht="15" thickBot="1">
      <c r="D41" s="15" t="str">
        <v>Elizabeth Hall</v>
      </c>
      <c r="E41" s="16">
        <f>SUMIF(data[Customer_Name],Analysis!D41,data[Total_Amount])</f>
        <v>3649.8599999999997</v>
      </c>
      <c r="F41" s="15">
        <f>COUNTIF(data[Customer_Name],Analysis!D41)</f>
        <v>4</v>
      </c>
      <c r="G41" s="15" t="str" cm="1">
        <f t="array" ref="G41">_xlfn.TEXTJOIN("",TRUE,LEFT(_xlfn.TEXTSPLIT(D41," "),1))</f>
        <v>EH</v>
      </c>
    </row>
    <row r="42" spans="4:11" ht="15" thickBot="1">
      <c r="D42" s="15" t="str">
        <v>Lawrence Reed</v>
      </c>
      <c r="E42" s="16">
        <f>SUMIF(data[Customer_Name],Analysis!D42,data[Total_Amount])</f>
        <v>6989.7699999999986</v>
      </c>
      <c r="F42" s="15">
        <f>COUNTIF(data[Customer_Name],Analysis!D42)</f>
        <v>8</v>
      </c>
      <c r="G42" s="15" t="str" cm="1">
        <f t="array" ref="G42">_xlfn.TEXTJOIN("",TRUE,LEFT(_xlfn.TEXTSPLIT(D42," "),1))</f>
        <v>LR</v>
      </c>
    </row>
    <row r="43" spans="4:11" ht="15" thickBot="1">
      <c r="D43" s="15" t="str">
        <v>Carol Evans</v>
      </c>
      <c r="E43" s="16">
        <f>SUMIF(data[Customer_Name],Analysis!D43,data[Total_Amount])</f>
        <v>1149.93</v>
      </c>
      <c r="F43" s="15">
        <f>COUNTIF(data[Customer_Name],Analysis!D43)</f>
        <v>3</v>
      </c>
      <c r="G43" s="15" t="str" cm="1">
        <f t="array" ref="G43">_xlfn.TEXTJOIN("",TRUE,LEFT(_xlfn.TEXTSPLIT(D43," "),1))</f>
        <v>CE</v>
      </c>
    </row>
    <row r="44" spans="4:11" ht="15" thickBot="1">
      <c r="D44" s="15" t="str">
        <v>Sandra Phillips</v>
      </c>
      <c r="E44" s="16">
        <f>SUMIF(data[Customer_Name],Analysis!D44,data[Total_Amount])</f>
        <v>6349.8300000000008</v>
      </c>
      <c r="F44" s="15">
        <f>COUNTIF(data[Customer_Name],Analysis!D44)</f>
        <v>5</v>
      </c>
      <c r="G44" s="15" t="str" cm="1">
        <f t="array" ref="G44">_xlfn.TEXTJOIN("",TRUE,LEFT(_xlfn.TEXTSPLIT(D44," "),1))</f>
        <v>SP</v>
      </c>
    </row>
    <row r="45" spans="4:11" ht="15" thickBot="1">
      <c r="D45" s="15" t="str">
        <v>Ruth Brooks</v>
      </c>
      <c r="E45" s="16">
        <f>SUMIF(data[Customer_Name],Analysis!D45,data[Total_Amount])</f>
        <v>1749.92</v>
      </c>
      <c r="F45" s="15">
        <f>COUNTIF(data[Customer_Name],Analysis!D45)</f>
        <v>3</v>
      </c>
      <c r="G45" s="15" t="str" cm="1">
        <f t="array" ref="G45">_xlfn.TEXTJOIN("",TRUE,LEFT(_xlfn.TEXTSPLIT(D45," "),1))</f>
        <v>RB</v>
      </c>
    </row>
    <row r="46" spans="4:11" ht="15" thickBot="1">
      <c r="D46" s="15" t="str">
        <v>William White</v>
      </c>
      <c r="E46" s="16">
        <f>SUMIF(data[Customer_Name],Analysis!D46,data[Total_Amount])</f>
        <v>4749.91</v>
      </c>
      <c r="F46" s="15">
        <f>COUNTIF(data[Customer_Name],Analysis!D46)</f>
        <v>3</v>
      </c>
      <c r="G46" s="15" t="str" cm="1">
        <f t="array" ref="G46">_xlfn.TEXTJOIN("",TRUE,LEFT(_xlfn.TEXTSPLIT(D46," "),1))</f>
        <v>WW</v>
      </c>
    </row>
    <row r="47" spans="4:11" ht="15" thickBot="1">
      <c r="D47" s="15" t="str">
        <v>Richard Lee</v>
      </c>
      <c r="E47" s="16">
        <f>SUMIF(data[Customer_Name],Analysis!D47,data[Total_Amount])</f>
        <v>739.93000000000006</v>
      </c>
      <c r="F47" s="15">
        <f>COUNTIF(data[Customer_Name],Analysis!D47)</f>
        <v>3</v>
      </c>
      <c r="G47" s="15" t="str" cm="1">
        <f t="array" ref="G47">_xlfn.TEXTJOIN("",TRUE,LEFT(_xlfn.TEXTSPLIT(D47," "),1))</f>
        <v>RL</v>
      </c>
    </row>
    <row r="48" spans="4:11" ht="15" thickBot="1">
      <c r="D48" s="15" t="str">
        <v>Douglas Watson</v>
      </c>
      <c r="E48" s="16">
        <f>SUMIF(data[Customer_Name],Analysis!D48,data[Total_Amount])</f>
        <v>4829.8900000000003</v>
      </c>
      <c r="F48" s="15">
        <f>COUNTIF(data[Customer_Name],Analysis!D48)</f>
        <v>4</v>
      </c>
      <c r="G48" s="15" t="str" cm="1">
        <f t="array" ref="G48">_xlfn.TEXTJOIN("",TRUE,LEFT(_xlfn.TEXTSPLIT(D48," "),1))</f>
        <v>DW</v>
      </c>
    </row>
    <row r="49" spans="4:7" ht="15" thickBot="1">
      <c r="D49" s="15" t="str">
        <v>James Johnson</v>
      </c>
      <c r="E49" s="16">
        <f>SUMIF(data[Customer_Name],Analysis!D49,data[Total_Amount])</f>
        <v>179.97</v>
      </c>
      <c r="F49" s="15">
        <f>COUNTIF(data[Customer_Name],Analysis!D49)</f>
        <v>1</v>
      </c>
      <c r="G49" s="15" t="str" cm="1">
        <f t="array" ref="G49">_xlfn.TEXTJOIN("",TRUE,LEFT(_xlfn.TEXTSPLIT(D49," "),1))</f>
        <v>JJ</v>
      </c>
    </row>
    <row r="50" spans="4:7" ht="15" thickBot="1">
      <c r="D50" s="15" t="str">
        <v>Arthur Edwards</v>
      </c>
      <c r="E50" s="16">
        <f>SUMIF(data[Customer_Name],Analysis!D50,data[Total_Amount])</f>
        <v>1559.94</v>
      </c>
      <c r="F50" s="15">
        <f>COUNTIF(data[Customer_Name],Analysis!D50)</f>
        <v>3</v>
      </c>
      <c r="G50" s="15" t="str" cm="1">
        <f t="array" ref="G50">_xlfn.TEXTJOIN("",TRUE,LEFT(_xlfn.TEXTSPLIT(D50," "),1))</f>
        <v>AE</v>
      </c>
    </row>
    <row r="51" spans="4:7" ht="15" thickBot="1">
      <c r="D51" s="15" t="str">
        <v>John Smith</v>
      </c>
      <c r="E51" s="16">
        <f>SUMIF(data[Customer_Name],Analysis!D51,data[Total_Amount])</f>
        <v>599.96</v>
      </c>
      <c r="F51" s="15">
        <f>COUNTIF(data[Customer_Name],Analysis!D51)</f>
        <v>1</v>
      </c>
      <c r="G51" s="15" t="str" cm="1">
        <f t="array" ref="G51">_xlfn.TEXTJOIN("",TRUE,LEFT(_xlfn.TEXTSPLIT(D51," "),1))</f>
        <v>JS</v>
      </c>
    </row>
  </sheetData>
  <scenarios current="0" sqref="B20">
    <scenario name="Low Growth" locked="1" count="1" user="Ayush Donga" comment="Created by Ayush Donga on 08-10-2026">
      <inputCells r="A20" val="0.05" numFmtId="9"/>
    </scenario>
    <scenario name="Medium Growth" locked="1" count="1" user="Ayush Donga" comment="Created by Ayush Donga on 08-10-2026">
      <inputCells r="A20" val="0.1" numFmtId="9"/>
    </scenario>
    <scenario name="High Growth" locked="1" count="1" user="Ayush Donga" comment="Created by Ayush Donga on 08-10-2026">
      <inputCells r="A20" val="0.15" numFmtId="9"/>
    </scenario>
    <scenario name="Very High Growth" locked="1" count="1" user="Ayush Donga" comment="Created by Ayush Donga on 08-10-2026">
      <inputCells r="A20" val="0.2" numFmtId="9"/>
    </scenario>
  </scenarios>
  <mergeCells count="7">
    <mergeCell ref="A23:B23"/>
    <mergeCell ref="N16:Q16"/>
    <mergeCell ref="I1:K1"/>
    <mergeCell ref="Q1:S1"/>
    <mergeCell ref="I16:K16"/>
    <mergeCell ref="A1:B1"/>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01009-6A48-480D-8BCB-DCCA949845C0}">
  <sheetPr>
    <outlinePr summaryBelow="0"/>
  </sheetPr>
  <dimension ref="B1:H11"/>
  <sheetViews>
    <sheetView showGridLines="0" workbookViewId="0">
      <selection activeCell="H21" sqref="H21"/>
    </sheetView>
  </sheetViews>
  <sheetFormatPr defaultRowHeight="14.4" outlineLevelRow="1" outlineLevelCol="1"/>
  <cols>
    <col min="3" max="3" width="5.88671875" bestFit="1" customWidth="1"/>
    <col min="4" max="8" width="13.33203125" bestFit="1" customWidth="1" outlineLevel="1"/>
  </cols>
  <sheetData>
    <row r="1" spans="2:8" ht="15" thickBot="1"/>
    <row r="2" spans="2:8" ht="15.6">
      <c r="B2" s="30" t="s">
        <v>425</v>
      </c>
      <c r="C2" s="30"/>
      <c r="D2" s="35"/>
      <c r="E2" s="35"/>
      <c r="F2" s="35"/>
      <c r="G2" s="35"/>
      <c r="H2" s="35"/>
    </row>
    <row r="3" spans="2:8" ht="15.6" collapsed="1">
      <c r="B3" s="29"/>
      <c r="C3" s="29"/>
      <c r="D3" s="36" t="s">
        <v>427</v>
      </c>
      <c r="E3" s="36" t="s">
        <v>422</v>
      </c>
      <c r="F3" s="36" t="s">
        <v>457</v>
      </c>
      <c r="G3" s="36" t="s">
        <v>424</v>
      </c>
      <c r="H3" s="36" t="s">
        <v>462</v>
      </c>
    </row>
    <row r="4" spans="2:8" ht="32.4" hidden="1" outlineLevel="1">
      <c r="B4" s="32"/>
      <c r="C4" s="32"/>
      <c r="E4" s="38" t="s">
        <v>423</v>
      </c>
      <c r="F4" s="38" t="s">
        <v>423</v>
      </c>
      <c r="G4" s="38" t="s">
        <v>423</v>
      </c>
      <c r="H4" s="38" t="s">
        <v>423</v>
      </c>
    </row>
    <row r="5" spans="2:8">
      <c r="B5" s="33" t="s">
        <v>426</v>
      </c>
      <c r="C5" s="33"/>
      <c r="D5" s="31"/>
      <c r="E5" s="31"/>
      <c r="F5" s="31"/>
      <c r="G5" s="31"/>
      <c r="H5" s="31"/>
    </row>
    <row r="6" spans="2:8" outlineLevel="1">
      <c r="B6" s="32"/>
      <c r="C6" s="32" t="s">
        <v>455</v>
      </c>
      <c r="D6" s="27">
        <v>0.1</v>
      </c>
      <c r="E6" s="37">
        <v>0.05</v>
      </c>
      <c r="F6" s="37">
        <v>0.1</v>
      </c>
      <c r="G6" s="37">
        <v>0.15</v>
      </c>
      <c r="H6" s="37">
        <v>0.2</v>
      </c>
    </row>
    <row r="7" spans="2:8">
      <c r="B7" s="33" t="s">
        <v>428</v>
      </c>
      <c r="C7" s="33"/>
      <c r="D7" s="31"/>
      <c r="E7" s="31"/>
      <c r="F7" s="31"/>
      <c r="G7" s="31"/>
      <c r="H7" s="31"/>
    </row>
    <row r="8" spans="2:8" ht="15" outlineLevel="1" thickBot="1">
      <c r="B8" s="34"/>
      <c r="C8" s="34" t="s">
        <v>456</v>
      </c>
      <c r="D8" s="39">
        <v>252111.717</v>
      </c>
      <c r="E8" s="39">
        <v>240652.09349999999</v>
      </c>
      <c r="F8" s="39">
        <v>252111.717</v>
      </c>
      <c r="G8" s="39">
        <v>263571.34049999999</v>
      </c>
      <c r="H8" s="39">
        <v>275030.96399999998</v>
      </c>
    </row>
    <row r="9" spans="2:8">
      <c r="B9" t="s">
        <v>429</v>
      </c>
    </row>
    <row r="10" spans="2:8">
      <c r="B10" t="s">
        <v>430</v>
      </c>
    </row>
    <row r="11" spans="2:8">
      <c r="B11" t="s">
        <v>431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23BE0-FC2F-4BBF-91B2-385B19E16642}">
  <dimension ref="A1:I18"/>
  <sheetViews>
    <sheetView workbookViewId="0">
      <selection activeCell="D24" sqref="D24"/>
    </sheetView>
  </sheetViews>
  <sheetFormatPr defaultRowHeight="14.4"/>
  <cols>
    <col min="1" max="1" width="16.44140625" bestFit="1" customWidth="1"/>
    <col min="2" max="2" width="12.44140625" bestFit="1" customWidth="1"/>
    <col min="3" max="3" width="13" bestFit="1" customWidth="1"/>
    <col min="4" max="4" width="12.44140625" bestFit="1" customWidth="1"/>
    <col min="5" max="5" width="11.77734375" bestFit="1" customWidth="1"/>
    <col min="6" max="6" width="12.77734375" bestFit="1" customWidth="1"/>
    <col min="7" max="7" width="11.77734375" bestFit="1" customWidth="1"/>
    <col min="8" max="8" width="12.44140625" bestFit="1" customWidth="1"/>
    <col min="9" max="9" width="12" bestFit="1" customWidth="1"/>
  </cols>
  <sheetData>
    <row r="1" spans="1:9">
      <c r="A1" t="s">
        <v>432</v>
      </c>
    </row>
    <row r="2" spans="1:9" ht="15" thickBot="1"/>
    <row r="3" spans="1:9">
      <c r="A3" s="41" t="s">
        <v>433</v>
      </c>
      <c r="B3" s="41"/>
    </row>
    <row r="4" spans="1:9">
      <c r="A4" t="s">
        <v>434</v>
      </c>
      <c r="B4">
        <v>0.4580986940634908</v>
      </c>
    </row>
    <row r="5" spans="1:9">
      <c r="A5" t="s">
        <v>435</v>
      </c>
      <c r="B5">
        <v>0.20985441350267575</v>
      </c>
    </row>
    <row r="6" spans="1:9">
      <c r="A6" t="s">
        <v>436</v>
      </c>
      <c r="B6">
        <v>0.20665544351685664</v>
      </c>
    </row>
    <row r="7" spans="1:9">
      <c r="A7" t="s">
        <v>437</v>
      </c>
      <c r="B7">
        <v>921.40854264214704</v>
      </c>
    </row>
    <row r="8" spans="1:9" ht="15" thickBot="1">
      <c r="A8" s="28" t="s">
        <v>438</v>
      </c>
      <c r="B8" s="28">
        <v>249</v>
      </c>
    </row>
    <row r="10" spans="1:9" ht="15" thickBot="1">
      <c r="A10" t="s">
        <v>439</v>
      </c>
    </row>
    <row r="11" spans="1:9">
      <c r="A11" s="40"/>
      <c r="B11" s="40" t="s">
        <v>443</v>
      </c>
      <c r="C11" s="40" t="s">
        <v>444</v>
      </c>
      <c r="D11" s="40" t="s">
        <v>445</v>
      </c>
      <c r="E11" s="40" t="s">
        <v>446</v>
      </c>
      <c r="F11" s="40" t="s">
        <v>447</v>
      </c>
    </row>
    <row r="12" spans="1:9">
      <c r="A12" t="s">
        <v>440</v>
      </c>
      <c r="B12">
        <v>1</v>
      </c>
      <c r="C12">
        <v>55694513.010666102</v>
      </c>
      <c r="D12">
        <v>55694513.010666102</v>
      </c>
      <c r="E12">
        <v>65.600619709765908</v>
      </c>
      <c r="F12">
        <v>2.5391277291095871E-14</v>
      </c>
    </row>
    <row r="13" spans="1:9">
      <c r="A13" t="s">
        <v>441</v>
      </c>
      <c r="B13">
        <v>247</v>
      </c>
      <c r="C13">
        <v>209701444.50611955</v>
      </c>
      <c r="D13">
        <v>848993.70245392527</v>
      </c>
    </row>
    <row r="14" spans="1:9" ht="15" thickBot="1">
      <c r="A14" s="28" t="s">
        <v>419</v>
      </c>
      <c r="B14" s="28">
        <v>248</v>
      </c>
      <c r="C14" s="28">
        <v>265395957.51678565</v>
      </c>
      <c r="D14" s="28"/>
      <c r="E14" s="28"/>
      <c r="F14" s="28"/>
    </row>
    <row r="15" spans="1:9" ht="15" thickBot="1"/>
    <row r="16" spans="1:9">
      <c r="A16" s="40"/>
      <c r="B16" s="40" t="s">
        <v>448</v>
      </c>
      <c r="C16" s="40" t="s">
        <v>437</v>
      </c>
      <c r="D16" s="40" t="s">
        <v>449</v>
      </c>
      <c r="E16" s="40" t="s">
        <v>450</v>
      </c>
      <c r="F16" s="40" t="s">
        <v>451</v>
      </c>
      <c r="G16" s="40" t="s">
        <v>452</v>
      </c>
      <c r="H16" s="40" t="s">
        <v>453</v>
      </c>
      <c r="I16" s="40" t="s">
        <v>454</v>
      </c>
    </row>
    <row r="17" spans="1:9">
      <c r="A17" t="s">
        <v>442</v>
      </c>
      <c r="B17">
        <v>-148.18856276399686</v>
      </c>
      <c r="C17">
        <v>143.94399015159905</v>
      </c>
      <c r="D17">
        <v>-1.029487668140417</v>
      </c>
      <c r="E17">
        <v>0.30425761488766012</v>
      </c>
      <c r="F17">
        <v>-431.70276968654099</v>
      </c>
      <c r="G17">
        <v>135.32564415854728</v>
      </c>
      <c r="H17">
        <v>-431.70276968654099</v>
      </c>
      <c r="I17">
        <v>135.32564415854728</v>
      </c>
    </row>
    <row r="18" spans="1:9" ht="15" thickBot="1">
      <c r="A18" s="28">
        <v>3</v>
      </c>
      <c r="B18" s="28">
        <v>353.78860283764737</v>
      </c>
      <c r="C18" s="28">
        <v>43.680727926547888</v>
      </c>
      <c r="D18" s="28">
        <v>8.099420949041118</v>
      </c>
      <c r="E18" s="28">
        <v>2.5391277291093214E-14</v>
      </c>
      <c r="F18" s="28">
        <v>267.75439659637294</v>
      </c>
      <c r="G18" s="28">
        <v>439.82280907892181</v>
      </c>
      <c r="H18" s="28">
        <v>267.75439659637294</v>
      </c>
      <c r="I18" s="28">
        <v>439.82280907892181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42B6-9D04-4B10-AD71-87CDA628EE71}">
  <dimension ref="A1:K26"/>
  <sheetViews>
    <sheetView workbookViewId="0">
      <selection activeCell="H20" sqref="H20:H21"/>
    </sheetView>
  </sheetViews>
  <sheetFormatPr defaultRowHeight="14.4"/>
  <cols>
    <col min="1" max="1" width="14.77734375" bestFit="1" customWidth="1"/>
    <col min="2" max="2" width="28.88671875" customWidth="1"/>
    <col min="3" max="3" width="11.6640625" customWidth="1"/>
    <col min="4" max="4" width="14.77734375" bestFit="1" customWidth="1"/>
    <col min="5" max="5" width="27.21875" customWidth="1"/>
    <col min="6" max="6" width="5.77734375" customWidth="1"/>
    <col min="7" max="7" width="19.88671875" bestFit="1" customWidth="1"/>
    <col min="8" max="8" width="18.6640625" bestFit="1" customWidth="1"/>
    <col min="9" max="9" width="10.21875" bestFit="1" customWidth="1"/>
    <col min="10" max="10" width="10.33203125" bestFit="1" customWidth="1"/>
    <col min="11" max="11" width="38.33203125" customWidth="1"/>
    <col min="12" max="12" width="5" bestFit="1" customWidth="1"/>
    <col min="13" max="14" width="10.33203125" bestFit="1" customWidth="1"/>
    <col min="15" max="15" width="9.77734375" bestFit="1" customWidth="1"/>
    <col min="16" max="16" width="9.21875" bestFit="1" customWidth="1"/>
    <col min="17" max="18" width="10.21875" bestFit="1" customWidth="1"/>
    <col min="19" max="19" width="10.33203125" bestFit="1" customWidth="1"/>
    <col min="20" max="20" width="9.77734375" bestFit="1" customWidth="1"/>
    <col min="21" max="22" width="10.21875" bestFit="1" customWidth="1"/>
    <col min="23" max="23" width="9.21875" bestFit="1" customWidth="1"/>
    <col min="24" max="24" width="10.33203125" bestFit="1" customWidth="1"/>
    <col min="25" max="25" width="10.21875" bestFit="1" customWidth="1"/>
    <col min="26" max="26" width="9.21875" bestFit="1" customWidth="1"/>
    <col min="27" max="28" width="10.21875" bestFit="1" customWidth="1"/>
    <col min="29" max="29" width="10.33203125" bestFit="1" customWidth="1"/>
    <col min="30" max="32" width="10.21875" bestFit="1" customWidth="1"/>
    <col min="33" max="33" width="11.77734375" bestFit="1" customWidth="1"/>
  </cols>
  <sheetData>
    <row r="1" spans="1:11">
      <c r="A1" s="46" t="s">
        <v>464</v>
      </c>
      <c r="B1" s="47" t="s">
        <v>466</v>
      </c>
      <c r="G1" s="46" t="s">
        <v>464</v>
      </c>
      <c r="H1" s="47" t="s">
        <v>466</v>
      </c>
      <c r="J1" s="46" t="s">
        <v>464</v>
      </c>
      <c r="K1" s="47" t="s">
        <v>466</v>
      </c>
    </row>
    <row r="2" spans="1:11">
      <c r="A2" s="47" t="s">
        <v>115</v>
      </c>
      <c r="B2" s="48">
        <v>3119.6099999999992</v>
      </c>
      <c r="G2" s="47" t="s">
        <v>21</v>
      </c>
      <c r="H2" s="48">
        <v>41288.340000000018</v>
      </c>
      <c r="J2" s="47" t="s">
        <v>22</v>
      </c>
      <c r="K2" s="48">
        <v>62177.810000000019</v>
      </c>
    </row>
    <row r="3" spans="1:11">
      <c r="A3" s="47" t="s">
        <v>32</v>
      </c>
      <c r="B3" s="48">
        <v>5219.1299999999974</v>
      </c>
      <c r="G3" s="47" t="s">
        <v>63</v>
      </c>
      <c r="H3" s="48">
        <v>59288.389999999992</v>
      </c>
      <c r="J3" s="47" t="s">
        <v>27</v>
      </c>
      <c r="K3" s="48">
        <v>84657.12000000001</v>
      </c>
    </row>
    <row r="4" spans="1:11">
      <c r="A4" s="47" t="s">
        <v>53</v>
      </c>
      <c r="B4" s="48">
        <v>7049.5299999999988</v>
      </c>
      <c r="G4" s="47" t="s">
        <v>40</v>
      </c>
      <c r="H4" s="48">
        <v>50808.310000000012</v>
      </c>
      <c r="J4" s="47" t="s">
        <v>36</v>
      </c>
      <c r="K4" s="48">
        <v>82357.540000000037</v>
      </c>
    </row>
    <row r="5" spans="1:11">
      <c r="A5" s="47" t="s">
        <v>118</v>
      </c>
      <c r="B5" s="48">
        <v>8009.1099999999969</v>
      </c>
      <c r="G5" s="47" t="s">
        <v>35</v>
      </c>
      <c r="H5" s="48">
        <v>36398.750000000007</v>
      </c>
      <c r="J5" s="47" t="s">
        <v>465</v>
      </c>
      <c r="K5" s="48">
        <v>229192.47000000006</v>
      </c>
    </row>
    <row r="6" spans="1:11">
      <c r="A6" s="47" t="s">
        <v>127</v>
      </c>
      <c r="B6" s="48">
        <v>10399.479999999998</v>
      </c>
      <c r="G6" s="47" t="s">
        <v>50</v>
      </c>
      <c r="H6" s="48">
        <v>41408.680000000015</v>
      </c>
    </row>
    <row r="7" spans="1:11">
      <c r="A7" s="47" t="s">
        <v>45</v>
      </c>
      <c r="B7" s="48">
        <v>15298.979999999994</v>
      </c>
      <c r="G7" s="47" t="s">
        <v>465</v>
      </c>
      <c r="H7" s="48">
        <v>229192.47000000006</v>
      </c>
    </row>
    <row r="8" spans="1:11">
      <c r="A8" s="47" t="s">
        <v>18</v>
      </c>
      <c r="B8" s="48">
        <v>21999.119999999999</v>
      </c>
    </row>
    <row r="9" spans="1:11">
      <c r="A9" s="47" t="s">
        <v>106</v>
      </c>
      <c r="B9" s="48">
        <v>23399.22</v>
      </c>
      <c r="D9" s="46" t="s">
        <v>464</v>
      </c>
      <c r="E9" s="47" t="s">
        <v>466</v>
      </c>
    </row>
    <row r="10" spans="1:11">
      <c r="A10" s="47" t="s">
        <v>81</v>
      </c>
      <c r="B10" s="48">
        <v>67199.039999999994</v>
      </c>
      <c r="D10" s="47">
        <v>1</v>
      </c>
      <c r="E10" s="47">
        <v>25799.15</v>
      </c>
      <c r="G10" s="46" t="s">
        <v>469</v>
      </c>
      <c r="H10" s="46" t="s">
        <v>467</v>
      </c>
      <c r="I10" s="47"/>
      <c r="J10" s="47"/>
      <c r="K10" s="47"/>
    </row>
    <row r="11" spans="1:11">
      <c r="A11" s="47" t="s">
        <v>62</v>
      </c>
      <c r="B11" s="48">
        <v>67499.25</v>
      </c>
      <c r="D11" s="47">
        <v>2</v>
      </c>
      <c r="E11" s="47">
        <v>16069.380000000001</v>
      </c>
      <c r="G11" s="46" t="s">
        <v>464</v>
      </c>
      <c r="H11" s="47" t="s">
        <v>33</v>
      </c>
      <c r="I11" s="47" t="s">
        <v>19</v>
      </c>
      <c r="J11" s="47" t="s">
        <v>46</v>
      </c>
      <c r="K11" s="47" t="s">
        <v>465</v>
      </c>
    </row>
    <row r="12" spans="1:11">
      <c r="A12" s="47" t="s">
        <v>465</v>
      </c>
      <c r="B12" s="48">
        <v>229192.46999999997</v>
      </c>
      <c r="D12" s="47">
        <v>3</v>
      </c>
      <c r="E12" s="47">
        <v>19899.379999999997</v>
      </c>
      <c r="G12" s="47" t="s">
        <v>21</v>
      </c>
      <c r="H12" s="47">
        <v>29</v>
      </c>
      <c r="I12" s="47">
        <v>67</v>
      </c>
      <c r="J12" s="47">
        <v>70</v>
      </c>
      <c r="K12" s="47">
        <v>166</v>
      </c>
    </row>
    <row r="13" spans="1:11">
      <c r="D13" s="47">
        <v>4</v>
      </c>
      <c r="E13" s="47">
        <v>27899.160000000007</v>
      </c>
      <c r="G13" s="47" t="s">
        <v>63</v>
      </c>
      <c r="H13" s="47">
        <v>33</v>
      </c>
      <c r="I13" s="47">
        <v>99</v>
      </c>
      <c r="J13" s="47">
        <v>29</v>
      </c>
      <c r="K13" s="47">
        <v>161</v>
      </c>
    </row>
    <row r="14" spans="1:11">
      <c r="D14" s="47">
        <v>5</v>
      </c>
      <c r="E14" s="47">
        <v>17039.349999999999</v>
      </c>
      <c r="G14" s="47" t="s">
        <v>40</v>
      </c>
      <c r="H14" s="47">
        <v>16</v>
      </c>
      <c r="I14" s="47">
        <v>96</v>
      </c>
      <c r="J14" s="47">
        <v>57</v>
      </c>
      <c r="K14" s="47">
        <v>169</v>
      </c>
    </row>
    <row r="15" spans="1:11">
      <c r="A15" s="46" t="s">
        <v>464</v>
      </c>
      <c r="B15" s="47" t="s">
        <v>466</v>
      </c>
      <c r="D15" s="47">
        <v>6</v>
      </c>
      <c r="E15" s="47">
        <v>19299.45</v>
      </c>
      <c r="G15" s="47" t="s">
        <v>35</v>
      </c>
      <c r="H15" s="47">
        <v>17</v>
      </c>
      <c r="I15" s="47">
        <v>68</v>
      </c>
      <c r="J15" s="47">
        <v>40</v>
      </c>
      <c r="K15" s="47">
        <v>125</v>
      </c>
    </row>
    <row r="16" spans="1:11">
      <c r="A16" s="47" t="s">
        <v>20</v>
      </c>
      <c r="B16" s="48">
        <v>57427.790000000023</v>
      </c>
      <c r="D16" s="47">
        <v>7</v>
      </c>
      <c r="E16" s="47">
        <v>18479.399999999994</v>
      </c>
      <c r="G16" s="47" t="s">
        <v>50</v>
      </c>
      <c r="H16" s="47">
        <v>31</v>
      </c>
      <c r="I16" s="47">
        <v>65</v>
      </c>
      <c r="J16" s="47">
        <v>36</v>
      </c>
      <c r="K16" s="47">
        <v>132</v>
      </c>
    </row>
    <row r="17" spans="1:11">
      <c r="A17" s="47" t="s">
        <v>26</v>
      </c>
      <c r="B17" s="48">
        <v>61447.960000000014</v>
      </c>
      <c r="D17" s="47">
        <v>8</v>
      </c>
      <c r="E17" s="47">
        <v>15759.429999999997</v>
      </c>
      <c r="G17" s="47" t="s">
        <v>465</v>
      </c>
      <c r="H17" s="47">
        <v>126</v>
      </c>
      <c r="I17" s="47">
        <v>395</v>
      </c>
      <c r="J17" s="47">
        <v>232</v>
      </c>
      <c r="K17" s="47">
        <v>753</v>
      </c>
    </row>
    <row r="18" spans="1:11">
      <c r="A18" s="47" t="s">
        <v>57</v>
      </c>
      <c r="B18" s="48">
        <v>52118.310000000005</v>
      </c>
      <c r="D18" s="47">
        <v>9</v>
      </c>
      <c r="E18" s="47">
        <v>12989.509999999998</v>
      </c>
    </row>
    <row r="19" spans="1:11">
      <c r="A19" s="47" t="s">
        <v>34</v>
      </c>
      <c r="B19" s="48">
        <v>58198.409999999996</v>
      </c>
      <c r="D19" s="47">
        <v>10</v>
      </c>
      <c r="E19" s="47">
        <v>20609.52</v>
      </c>
    </row>
    <row r="20" spans="1:11">
      <c r="A20" s="47" t="s">
        <v>465</v>
      </c>
      <c r="B20" s="48">
        <v>229192.47000000003</v>
      </c>
      <c r="D20" s="47">
        <v>11</v>
      </c>
      <c r="E20" s="47">
        <v>12309.439999999999</v>
      </c>
      <c r="G20" s="46" t="s">
        <v>470</v>
      </c>
      <c r="H20" s="46" t="s">
        <v>467</v>
      </c>
      <c r="I20" s="47"/>
      <c r="J20" s="47"/>
      <c r="K20" s="47"/>
    </row>
    <row r="21" spans="1:11">
      <c r="D21" s="47">
        <v>12</v>
      </c>
      <c r="E21" s="47">
        <v>23039.3</v>
      </c>
      <c r="G21" s="46" t="s">
        <v>464</v>
      </c>
      <c r="H21" s="47" t="s">
        <v>22</v>
      </c>
      <c r="I21" s="47" t="s">
        <v>27</v>
      </c>
      <c r="J21" s="47" t="s">
        <v>36</v>
      </c>
      <c r="K21" s="47" t="s">
        <v>465</v>
      </c>
    </row>
    <row r="22" spans="1:11">
      <c r="D22" s="47" t="s">
        <v>465</v>
      </c>
      <c r="E22" s="47">
        <v>229192.47000000032</v>
      </c>
      <c r="G22" s="47" t="s">
        <v>20</v>
      </c>
      <c r="H22" s="47">
        <v>22</v>
      </c>
      <c r="I22" s="47">
        <v>31</v>
      </c>
      <c r="J22" s="47">
        <v>23</v>
      </c>
      <c r="K22" s="47">
        <v>76</v>
      </c>
    </row>
    <row r="23" spans="1:11">
      <c r="G23" s="47" t="s">
        <v>26</v>
      </c>
      <c r="H23" s="47">
        <v>20</v>
      </c>
      <c r="I23" s="47">
        <v>29</v>
      </c>
      <c r="J23" s="47">
        <v>19</v>
      </c>
      <c r="K23" s="47">
        <v>68</v>
      </c>
    </row>
    <row r="24" spans="1:11">
      <c r="G24" s="47" t="s">
        <v>57</v>
      </c>
      <c r="H24" s="47">
        <v>12</v>
      </c>
      <c r="I24" s="47">
        <v>18</v>
      </c>
      <c r="J24" s="47">
        <v>24</v>
      </c>
      <c r="K24" s="47">
        <v>54</v>
      </c>
    </row>
    <row r="25" spans="1:11">
      <c r="G25" s="47" t="s">
        <v>34</v>
      </c>
      <c r="H25" s="47">
        <v>20</v>
      </c>
      <c r="I25" s="47">
        <v>17</v>
      </c>
      <c r="J25" s="47">
        <v>15</v>
      </c>
      <c r="K25" s="47">
        <v>52</v>
      </c>
    </row>
    <row r="26" spans="1:11">
      <c r="G26" s="47" t="s">
        <v>465</v>
      </c>
      <c r="H26" s="47">
        <v>74</v>
      </c>
      <c r="I26" s="47">
        <v>95</v>
      </c>
      <c r="J26" s="47">
        <v>81</v>
      </c>
      <c r="K26" s="47">
        <v>250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82483-92DE-4D0A-A493-7FBD74C10117}">
  <dimension ref="A1:P89"/>
  <sheetViews>
    <sheetView showGridLines="0" tabSelected="1" topLeftCell="A67" zoomScale="66" zoomScaleNormal="100" workbookViewId="0">
      <selection activeCell="B76" sqref="B76:I76"/>
    </sheetView>
  </sheetViews>
  <sheetFormatPr defaultRowHeight="14.4"/>
  <cols>
    <col min="1" max="1" width="2.77734375" customWidth="1"/>
    <col min="2" max="2" width="15" customWidth="1"/>
    <col min="3" max="3" width="12.77734375" customWidth="1"/>
    <col min="4" max="4" width="12.44140625" customWidth="1"/>
    <col min="5" max="5" width="10.109375" customWidth="1"/>
    <col min="6" max="6" width="10.21875" customWidth="1"/>
    <col min="7" max="7" width="12.77734375" customWidth="1"/>
    <col min="8" max="9" width="9.77734375" customWidth="1"/>
    <col min="10" max="10" width="11.77734375" customWidth="1"/>
    <col min="11" max="11" width="8.77734375" customWidth="1"/>
    <col min="12" max="12" width="12.5546875" customWidth="1"/>
    <col min="13" max="13" width="11.33203125" customWidth="1"/>
    <col min="14" max="14" width="13" customWidth="1"/>
    <col min="15" max="15" width="12.109375" customWidth="1"/>
    <col min="16" max="16" width="11.44140625" customWidth="1"/>
  </cols>
  <sheetData>
    <row r="1" spans="1:16" ht="14.55" customHeight="1">
      <c r="A1" s="54"/>
      <c r="B1" s="54"/>
      <c r="C1" s="54"/>
      <c r="D1" s="54"/>
      <c r="E1" s="54"/>
      <c r="F1" s="54"/>
      <c r="G1" s="54"/>
      <c r="H1" s="54"/>
      <c r="I1" s="54"/>
      <c r="J1" s="54"/>
      <c r="K1" s="54"/>
      <c r="L1" s="54"/>
      <c r="M1" s="54"/>
      <c r="N1" s="54"/>
      <c r="O1" s="54"/>
      <c r="P1" s="54"/>
    </row>
    <row r="2" spans="1:16" ht="28.2">
      <c r="A2" s="54"/>
      <c r="B2" s="70" t="s">
        <v>487</v>
      </c>
      <c r="C2" s="71"/>
      <c r="D2" s="71"/>
      <c r="E2" s="71"/>
      <c r="F2" s="71"/>
      <c r="G2" s="71"/>
      <c r="H2" s="71"/>
      <c r="I2" s="71"/>
      <c r="J2" s="71"/>
      <c r="K2" s="71"/>
      <c r="L2" s="71"/>
      <c r="M2" s="54"/>
      <c r="N2" s="54"/>
      <c r="O2" s="54"/>
      <c r="P2" s="54"/>
    </row>
    <row r="3" spans="1:16" ht="14.55" customHeight="1">
      <c r="A3" s="54"/>
      <c r="B3" s="72" t="str">
        <f>"Transactions "&amp;TEXT(MIN([1]Data!B2:B251),"mmm yyyy")&amp;" to "&amp;TEXT(MAX([1]Data!B2:B251),"mmm yyyy")&amp;"   |   Source: Pivot Table sheet   |   Amounts in $"</f>
        <v>Transactions Apr 2024 to Apr 2025   |   Source: Pivot Table sheet   |   Amounts in $</v>
      </c>
      <c r="C3" s="71"/>
      <c r="D3" s="71"/>
      <c r="E3" s="71"/>
      <c r="F3" s="71"/>
      <c r="G3" s="71"/>
      <c r="H3" s="71"/>
      <c r="I3" s="71"/>
      <c r="J3" s="71"/>
      <c r="K3" s="71"/>
      <c r="L3" s="71"/>
      <c r="M3" s="54"/>
      <c r="N3" s="54"/>
      <c r="O3" s="54"/>
      <c r="P3" s="54"/>
    </row>
    <row r="4" spans="1:16" ht="14.55" customHeight="1">
      <c r="A4" s="54"/>
      <c r="B4" s="54"/>
      <c r="C4" s="54"/>
      <c r="D4" s="54"/>
      <c r="E4" s="54"/>
      <c r="F4" s="54"/>
      <c r="G4" s="54"/>
      <c r="H4" s="54"/>
      <c r="I4" s="54"/>
      <c r="J4" s="54"/>
      <c r="K4" s="54"/>
      <c r="L4" s="54"/>
      <c r="M4" s="54"/>
      <c r="N4" s="54"/>
      <c r="O4" s="54"/>
      <c r="P4" s="54"/>
    </row>
    <row r="5" spans="1:16">
      <c r="A5" s="55"/>
      <c r="B5" s="55"/>
      <c r="C5" s="55"/>
      <c r="D5" s="55"/>
      <c r="E5" s="55"/>
      <c r="F5" s="55"/>
      <c r="G5" s="55"/>
      <c r="H5" s="55"/>
      <c r="I5" s="55"/>
      <c r="J5" s="55"/>
      <c r="K5" s="55"/>
      <c r="L5" s="55"/>
      <c r="M5" s="55"/>
      <c r="N5" s="55"/>
      <c r="O5" s="55"/>
      <c r="P5" s="55"/>
    </row>
    <row r="6" spans="1:16" ht="15" thickBot="1">
      <c r="A6" s="56"/>
      <c r="B6" s="56"/>
      <c r="C6" s="56"/>
      <c r="D6" s="56"/>
      <c r="E6" s="56"/>
      <c r="F6" s="56"/>
      <c r="G6" s="56"/>
      <c r="H6" s="56"/>
      <c r="I6" s="56"/>
      <c r="J6" s="56"/>
      <c r="K6" s="56"/>
      <c r="L6" s="56"/>
      <c r="M6" s="56"/>
      <c r="N6" s="56"/>
      <c r="O6" s="56"/>
      <c r="P6" s="56"/>
    </row>
    <row r="7" spans="1:16" ht="15" thickTop="1">
      <c r="A7" s="56"/>
      <c r="B7" s="73" t="s">
        <v>488</v>
      </c>
      <c r="C7" s="74"/>
      <c r="D7" s="56"/>
      <c r="E7" s="75" t="s">
        <v>489</v>
      </c>
      <c r="F7" s="76"/>
      <c r="G7" s="56"/>
      <c r="H7" s="77" t="s">
        <v>490</v>
      </c>
      <c r="I7" s="78"/>
      <c r="J7" s="56"/>
      <c r="K7" s="79" t="s">
        <v>491</v>
      </c>
      <c r="L7" s="80"/>
      <c r="M7" s="56"/>
      <c r="N7" s="61" t="s">
        <v>492</v>
      </c>
      <c r="O7" s="62"/>
      <c r="P7" s="56"/>
    </row>
    <row r="8" spans="1:16" ht="28.2">
      <c r="A8" s="56"/>
      <c r="B8" s="63">
        <f>Analysis!B2</f>
        <v>229192.47000000032</v>
      </c>
      <c r="C8" s="64"/>
      <c r="D8" s="56"/>
      <c r="E8" s="65">
        <f>Analysis!B3</f>
        <v>250</v>
      </c>
      <c r="F8" s="66"/>
      <c r="G8" s="56"/>
      <c r="H8" s="65">
        <f>Analysis!B4</f>
        <v>753</v>
      </c>
      <c r="I8" s="66"/>
      <c r="J8" s="56"/>
      <c r="K8" s="67">
        <f>IFERROR(B8/E8,0)</f>
        <v>916.76988000000131</v>
      </c>
      <c r="L8" s="68"/>
      <c r="M8" s="56"/>
      <c r="N8" s="69" t="str">
        <f>Analysis!R3</f>
        <v>Bookshelf</v>
      </c>
      <c r="O8" s="66"/>
      <c r="P8" s="56"/>
    </row>
    <row r="9" spans="1:16" ht="15" thickBot="1">
      <c r="A9" s="57"/>
      <c r="B9" s="57"/>
      <c r="C9" s="57"/>
      <c r="D9" s="57"/>
      <c r="E9" s="57"/>
      <c r="F9" s="57"/>
      <c r="G9" s="57"/>
      <c r="H9" s="57"/>
      <c r="I9" s="57"/>
      <c r="J9" s="57"/>
      <c r="K9" s="57"/>
      <c r="L9" s="57"/>
      <c r="M9" s="57"/>
      <c r="N9" s="57"/>
      <c r="O9" s="57"/>
      <c r="P9" s="57"/>
    </row>
    <row r="10" spans="1:16">
      <c r="A10" s="56"/>
      <c r="B10" s="56"/>
      <c r="C10" s="56"/>
      <c r="D10" s="56"/>
      <c r="E10" s="56"/>
      <c r="F10" s="56"/>
      <c r="G10" s="56"/>
      <c r="H10" s="56"/>
      <c r="I10" s="56"/>
      <c r="J10" s="56"/>
      <c r="K10" s="56"/>
      <c r="L10" s="56"/>
      <c r="M10" s="56"/>
      <c r="N10" s="56"/>
      <c r="O10" s="56"/>
      <c r="P10" s="56"/>
    </row>
    <row r="11" spans="1:16">
      <c r="A11" s="56"/>
      <c r="B11" s="56"/>
      <c r="C11" s="56"/>
      <c r="D11" s="56"/>
      <c r="E11" s="56"/>
      <c r="F11" s="56"/>
      <c r="G11" s="56"/>
      <c r="H11" s="56"/>
      <c r="I11" s="56"/>
      <c r="J11" s="56"/>
      <c r="K11" s="56"/>
      <c r="L11" s="56"/>
      <c r="M11" s="56"/>
      <c r="N11" s="56"/>
      <c r="O11" s="56"/>
      <c r="P11" s="56"/>
    </row>
    <row r="12" spans="1:16">
      <c r="A12" s="56"/>
      <c r="B12" s="56"/>
      <c r="C12" s="56"/>
      <c r="D12" s="56"/>
      <c r="E12" s="56"/>
      <c r="F12" s="56"/>
      <c r="G12" s="56"/>
      <c r="H12" s="56"/>
      <c r="I12" s="56"/>
      <c r="J12" s="56"/>
      <c r="K12" s="56"/>
      <c r="L12" s="56"/>
      <c r="M12" s="56"/>
      <c r="N12" s="56"/>
      <c r="O12" s="56"/>
      <c r="P12" s="56"/>
    </row>
    <row r="13" spans="1:16">
      <c r="A13" s="56"/>
      <c r="B13" s="56"/>
      <c r="C13" s="56"/>
      <c r="D13" s="56"/>
      <c r="E13" s="56"/>
      <c r="F13" s="56"/>
      <c r="G13" s="56"/>
      <c r="H13" s="56"/>
      <c r="I13" s="56"/>
      <c r="J13" s="56"/>
      <c r="K13" s="56"/>
      <c r="L13" s="56"/>
      <c r="M13" s="56"/>
      <c r="N13" s="56"/>
      <c r="O13" s="56"/>
      <c r="P13" s="56"/>
    </row>
    <row r="14" spans="1:16">
      <c r="A14" s="56"/>
      <c r="B14" s="56"/>
      <c r="C14" s="56"/>
      <c r="D14" s="56"/>
      <c r="E14" s="56"/>
      <c r="F14" s="56"/>
      <c r="G14" s="56"/>
      <c r="H14" s="56"/>
      <c r="I14" s="56"/>
      <c r="J14" s="56"/>
      <c r="K14" s="56"/>
      <c r="L14" s="56"/>
      <c r="M14" s="56"/>
      <c r="N14" s="56"/>
      <c r="O14" s="56"/>
      <c r="P14" s="56"/>
    </row>
    <row r="15" spans="1:16">
      <c r="A15" s="56"/>
      <c r="B15" s="56"/>
      <c r="C15" s="56"/>
      <c r="D15" s="56"/>
      <c r="E15" s="56"/>
      <c r="F15" s="56"/>
      <c r="G15" s="56"/>
      <c r="H15" s="56"/>
      <c r="I15" s="56"/>
      <c r="J15" s="56"/>
      <c r="K15" s="56"/>
      <c r="L15" s="56"/>
      <c r="M15" s="56"/>
      <c r="N15" s="56"/>
      <c r="O15" s="56"/>
      <c r="P15" s="56"/>
    </row>
    <row r="16" spans="1:16">
      <c r="A16" s="56"/>
      <c r="B16" s="56"/>
      <c r="C16" s="56"/>
      <c r="D16" s="56"/>
      <c r="E16" s="56"/>
      <c r="F16" s="56"/>
      <c r="G16" s="56"/>
      <c r="H16" s="56"/>
      <c r="I16" s="56"/>
      <c r="J16" s="56"/>
      <c r="K16" s="56"/>
      <c r="L16" s="56"/>
      <c r="M16" s="56"/>
      <c r="N16" s="56"/>
      <c r="O16" s="56"/>
      <c r="P16" s="56"/>
    </row>
    <row r="17" spans="1:16">
      <c r="A17" s="56"/>
      <c r="B17" s="56"/>
      <c r="C17" s="56"/>
      <c r="D17" s="56"/>
      <c r="E17" s="56"/>
      <c r="F17" s="56"/>
      <c r="G17" s="56"/>
      <c r="H17" s="56"/>
      <c r="I17" s="56"/>
      <c r="J17" s="56"/>
      <c r="K17" s="56"/>
      <c r="L17" s="56"/>
      <c r="M17" s="56"/>
      <c r="N17" s="56"/>
      <c r="O17" s="56"/>
      <c r="P17" s="56"/>
    </row>
    <row r="18" spans="1:16">
      <c r="A18" s="56"/>
      <c r="B18" s="56"/>
      <c r="C18" s="56"/>
      <c r="D18" s="56"/>
      <c r="E18" s="56"/>
      <c r="F18" s="56"/>
      <c r="G18" s="56"/>
      <c r="H18" s="56"/>
      <c r="I18" s="56"/>
      <c r="J18" s="56"/>
      <c r="K18" s="56"/>
      <c r="L18" s="56"/>
      <c r="M18" s="56"/>
      <c r="N18" s="56"/>
      <c r="O18" s="56"/>
      <c r="P18" s="56"/>
    </row>
    <row r="19" spans="1:16">
      <c r="A19" s="56"/>
      <c r="B19" s="56"/>
      <c r="C19" s="56"/>
      <c r="D19" s="56"/>
      <c r="E19" s="56"/>
      <c r="F19" s="56"/>
      <c r="G19" s="56"/>
      <c r="H19" s="56"/>
      <c r="I19" s="56"/>
      <c r="J19" s="56"/>
      <c r="K19" s="56"/>
      <c r="L19" s="56"/>
      <c r="M19" s="56"/>
      <c r="N19" s="56"/>
      <c r="O19" s="56"/>
      <c r="P19" s="56"/>
    </row>
    <row r="20" spans="1:16">
      <c r="A20" s="56"/>
      <c r="B20" s="56"/>
      <c r="C20" s="56"/>
      <c r="D20" s="56"/>
      <c r="E20" s="56"/>
      <c r="F20" s="56"/>
      <c r="G20" s="56"/>
      <c r="H20" s="56"/>
      <c r="I20" s="56"/>
      <c r="J20" s="56"/>
      <c r="K20" s="56"/>
      <c r="L20" s="56"/>
      <c r="M20" s="56"/>
      <c r="N20" s="56"/>
      <c r="O20" s="56"/>
      <c r="P20" s="56"/>
    </row>
    <row r="21" spans="1:16">
      <c r="A21" s="56"/>
      <c r="B21" s="56"/>
      <c r="C21" s="56"/>
      <c r="D21" s="56"/>
      <c r="E21" s="56"/>
      <c r="F21" s="56"/>
      <c r="G21" s="56"/>
      <c r="H21" s="56"/>
      <c r="I21" s="56"/>
      <c r="J21" s="56"/>
      <c r="K21" s="56"/>
      <c r="L21" s="56"/>
      <c r="M21" s="56"/>
      <c r="N21" s="56"/>
      <c r="O21" s="56"/>
      <c r="P21" s="56"/>
    </row>
    <row r="22" spans="1:16">
      <c r="A22" s="56"/>
      <c r="B22" s="56"/>
      <c r="C22" s="56"/>
      <c r="D22" s="56"/>
      <c r="E22" s="56"/>
      <c r="F22" s="56"/>
      <c r="G22" s="56"/>
      <c r="H22" s="56"/>
      <c r="I22" s="56"/>
      <c r="J22" s="56"/>
      <c r="K22" s="56"/>
      <c r="L22" s="56"/>
      <c r="M22" s="56"/>
      <c r="N22" s="56"/>
      <c r="O22" s="56"/>
      <c r="P22" s="56"/>
    </row>
    <row r="23" spans="1:16">
      <c r="A23" s="56"/>
      <c r="B23" s="56"/>
      <c r="C23" s="56"/>
      <c r="D23" s="56"/>
      <c r="E23" s="56"/>
      <c r="F23" s="56"/>
      <c r="G23" s="56"/>
      <c r="H23" s="56"/>
      <c r="I23" s="56"/>
      <c r="J23" s="56"/>
      <c r="K23" s="56"/>
      <c r="L23" s="56"/>
      <c r="M23" s="56"/>
      <c r="N23" s="56"/>
      <c r="O23" s="56"/>
      <c r="P23" s="56"/>
    </row>
    <row r="24" spans="1:16">
      <c r="A24" s="56"/>
      <c r="B24" s="56"/>
      <c r="C24" s="56"/>
      <c r="D24" s="56"/>
      <c r="E24" s="56"/>
      <c r="F24" s="56"/>
      <c r="G24" s="56"/>
      <c r="H24" s="56"/>
      <c r="I24" s="56"/>
      <c r="J24" s="56"/>
      <c r="K24" s="56"/>
      <c r="L24" s="56"/>
      <c r="M24" s="56"/>
      <c r="N24" s="56"/>
      <c r="O24" s="56"/>
      <c r="P24" s="56"/>
    </row>
    <row r="25" spans="1:16">
      <c r="A25" s="56"/>
      <c r="B25" s="56"/>
      <c r="C25" s="56"/>
      <c r="D25" s="56"/>
      <c r="E25" s="56"/>
      <c r="F25" s="56"/>
      <c r="G25" s="56"/>
      <c r="H25" s="56"/>
      <c r="I25" s="56"/>
      <c r="J25" s="56"/>
      <c r="K25" s="56"/>
      <c r="L25" s="56"/>
      <c r="M25" s="56"/>
      <c r="N25" s="56"/>
      <c r="O25" s="56"/>
      <c r="P25" s="56"/>
    </row>
    <row r="26" spans="1:16">
      <c r="A26" s="56"/>
      <c r="B26" s="56"/>
      <c r="C26" s="56"/>
      <c r="D26" s="56"/>
      <c r="E26" s="56"/>
      <c r="F26" s="56"/>
      <c r="G26" s="56"/>
      <c r="H26" s="56"/>
      <c r="I26" s="56"/>
      <c r="J26" s="56"/>
      <c r="K26" s="56"/>
      <c r="L26" s="56"/>
      <c r="M26" s="56"/>
      <c r="N26" s="56"/>
      <c r="O26" s="56"/>
      <c r="P26" s="56"/>
    </row>
    <row r="27" spans="1:16">
      <c r="A27" s="56"/>
      <c r="B27" s="56"/>
      <c r="C27" s="56"/>
      <c r="D27" s="56"/>
      <c r="E27" s="56"/>
      <c r="F27" s="56"/>
      <c r="G27" s="56"/>
      <c r="H27" s="56"/>
      <c r="I27" s="56"/>
      <c r="J27" s="56"/>
      <c r="K27" s="56"/>
      <c r="L27" s="56"/>
      <c r="M27" s="56"/>
      <c r="N27" s="56"/>
      <c r="O27" s="56"/>
      <c r="P27" s="56"/>
    </row>
    <row r="28" spans="1:16">
      <c r="A28" s="56"/>
      <c r="B28" s="56"/>
      <c r="C28" s="56"/>
      <c r="D28" s="56"/>
      <c r="E28" s="56"/>
      <c r="F28" s="56"/>
      <c r="G28" s="56"/>
      <c r="H28" s="56"/>
      <c r="I28" s="56"/>
      <c r="J28" s="56"/>
      <c r="K28" s="56"/>
      <c r="L28" s="56"/>
      <c r="M28" s="56"/>
      <c r="N28" s="56"/>
      <c r="O28" s="56"/>
      <c r="P28" s="56"/>
    </row>
    <row r="29" spans="1:16">
      <c r="A29" s="56"/>
      <c r="B29" s="56"/>
      <c r="C29" s="56"/>
      <c r="D29" s="56"/>
      <c r="E29" s="56"/>
      <c r="F29" s="56"/>
      <c r="G29" s="56"/>
      <c r="H29" s="56"/>
      <c r="I29" s="56"/>
      <c r="J29" s="56"/>
      <c r="K29" s="56"/>
      <c r="L29" s="56"/>
      <c r="M29" s="56"/>
      <c r="N29" s="56"/>
      <c r="O29" s="56"/>
      <c r="P29" s="56"/>
    </row>
    <row r="30" spans="1:16">
      <c r="A30" s="56"/>
      <c r="B30" s="56"/>
      <c r="C30" s="56"/>
      <c r="D30" s="56"/>
      <c r="E30" s="56"/>
      <c r="F30" s="56"/>
      <c r="G30" s="56"/>
      <c r="H30" s="56"/>
      <c r="I30" s="56"/>
      <c r="J30" s="56"/>
      <c r="K30" s="56"/>
      <c r="L30" s="56"/>
      <c r="M30" s="56"/>
      <c r="N30" s="56"/>
      <c r="O30" s="56"/>
      <c r="P30" s="56"/>
    </row>
    <row r="31" spans="1:16">
      <c r="A31" s="56"/>
      <c r="B31" s="56"/>
      <c r="C31" s="56"/>
      <c r="D31" s="56"/>
      <c r="E31" s="56"/>
      <c r="F31" s="56"/>
      <c r="G31" s="56"/>
      <c r="H31" s="56"/>
      <c r="I31" s="56"/>
      <c r="J31" s="56"/>
      <c r="K31" s="56"/>
      <c r="L31" s="56"/>
      <c r="M31" s="56"/>
      <c r="N31" s="56"/>
      <c r="O31" s="56"/>
      <c r="P31" s="56"/>
    </row>
    <row r="32" spans="1:16">
      <c r="A32" s="56"/>
      <c r="B32" s="56"/>
      <c r="C32" s="56"/>
      <c r="D32" s="56"/>
      <c r="E32" s="56"/>
      <c r="F32" s="56"/>
      <c r="G32" s="56"/>
      <c r="H32" s="56"/>
      <c r="I32" s="56"/>
      <c r="J32" s="56"/>
      <c r="K32" s="56"/>
      <c r="L32" s="56"/>
      <c r="M32" s="56"/>
      <c r="N32" s="56"/>
      <c r="O32" s="56"/>
      <c r="P32" s="56"/>
    </row>
    <row r="33" spans="1:16">
      <c r="A33" s="56"/>
      <c r="B33" s="56"/>
      <c r="C33" s="56"/>
      <c r="D33" s="56"/>
      <c r="E33" s="56"/>
      <c r="F33" s="56"/>
      <c r="G33" s="56"/>
      <c r="H33" s="56"/>
      <c r="I33" s="56"/>
      <c r="J33" s="56"/>
      <c r="K33" s="56"/>
      <c r="L33" s="56"/>
      <c r="M33" s="56"/>
      <c r="N33" s="56"/>
      <c r="O33" s="56"/>
      <c r="P33" s="56"/>
    </row>
    <row r="34" spans="1:16">
      <c r="A34" s="56"/>
      <c r="B34" s="56"/>
      <c r="C34" s="56"/>
      <c r="D34" s="56"/>
      <c r="E34" s="56"/>
      <c r="F34" s="56"/>
      <c r="G34" s="56"/>
      <c r="H34" s="56"/>
      <c r="I34" s="56"/>
      <c r="J34" s="56"/>
      <c r="K34" s="56"/>
      <c r="L34" s="56"/>
      <c r="M34" s="56"/>
      <c r="N34" s="56"/>
      <c r="O34" s="56"/>
      <c r="P34" s="56"/>
    </row>
    <row r="35" spans="1:16">
      <c r="A35" s="56"/>
      <c r="B35" s="56"/>
      <c r="C35" s="56"/>
      <c r="D35" s="56"/>
      <c r="E35" s="56"/>
      <c r="F35" s="56"/>
      <c r="G35" s="56"/>
      <c r="H35" s="56"/>
      <c r="I35" s="56"/>
      <c r="J35" s="56"/>
      <c r="K35" s="56"/>
      <c r="L35" s="56"/>
      <c r="M35" s="56"/>
      <c r="N35" s="56"/>
      <c r="O35" s="56"/>
      <c r="P35" s="56"/>
    </row>
    <row r="36" spans="1:16">
      <c r="A36" s="56"/>
      <c r="B36" s="56"/>
      <c r="C36" s="56"/>
      <c r="D36" s="56"/>
      <c r="E36" s="56"/>
      <c r="F36" s="56"/>
      <c r="G36" s="56"/>
      <c r="H36" s="56"/>
      <c r="I36" s="56"/>
      <c r="J36" s="56"/>
      <c r="K36" s="56"/>
      <c r="L36" s="56"/>
      <c r="M36" s="56"/>
      <c r="N36" s="56"/>
      <c r="O36" s="56"/>
      <c r="P36" s="56"/>
    </row>
    <row r="37" spans="1:16">
      <c r="A37" s="56"/>
      <c r="B37" s="56"/>
      <c r="C37" s="56"/>
      <c r="D37" s="56"/>
      <c r="E37" s="56"/>
      <c r="F37" s="56"/>
      <c r="G37" s="56"/>
      <c r="H37" s="56"/>
      <c r="I37" s="56"/>
      <c r="J37" s="56"/>
      <c r="K37" s="56"/>
      <c r="L37" s="56"/>
      <c r="M37" s="56"/>
      <c r="N37" s="56"/>
      <c r="O37" s="56"/>
      <c r="P37" s="56"/>
    </row>
    <row r="38" spans="1:16">
      <c r="A38" s="56"/>
      <c r="B38" s="56"/>
      <c r="C38" s="56"/>
      <c r="D38" s="56"/>
      <c r="E38" s="56"/>
      <c r="F38" s="56"/>
      <c r="G38" s="56"/>
      <c r="H38" s="56"/>
      <c r="I38" s="56"/>
      <c r="J38" s="56"/>
      <c r="K38" s="56"/>
      <c r="L38" s="56"/>
      <c r="M38" s="56"/>
      <c r="N38" s="56"/>
      <c r="O38" s="56"/>
      <c r="P38" s="56"/>
    </row>
    <row r="39" spans="1:16">
      <c r="A39" s="56"/>
      <c r="B39" s="56"/>
      <c r="C39" s="56"/>
      <c r="D39" s="56"/>
      <c r="E39" s="56"/>
      <c r="F39" s="56"/>
      <c r="G39" s="56"/>
      <c r="H39" s="56"/>
      <c r="I39" s="56"/>
      <c r="J39" s="56"/>
      <c r="K39" s="56"/>
      <c r="L39" s="56"/>
      <c r="M39" s="56"/>
      <c r="N39" s="56"/>
      <c r="O39" s="56"/>
      <c r="P39" s="56"/>
    </row>
    <row r="40" spans="1:16">
      <c r="A40" s="56"/>
      <c r="B40" s="56"/>
      <c r="C40" s="56"/>
      <c r="D40" s="56"/>
      <c r="E40" s="56"/>
      <c r="F40" s="56"/>
      <c r="G40" s="56"/>
      <c r="H40" s="56"/>
      <c r="I40" s="56"/>
      <c r="J40" s="56"/>
      <c r="K40" s="56"/>
      <c r="L40" s="56"/>
      <c r="M40" s="56"/>
      <c r="N40" s="56"/>
      <c r="O40" s="56"/>
      <c r="P40" s="56"/>
    </row>
    <row r="41" spans="1:16">
      <c r="A41" s="56"/>
      <c r="B41" s="56"/>
      <c r="C41" s="56"/>
      <c r="D41" s="56"/>
      <c r="E41" s="56"/>
      <c r="F41" s="56"/>
      <c r="G41" s="56"/>
      <c r="H41" s="56"/>
      <c r="I41" s="56"/>
      <c r="J41" s="56"/>
      <c r="K41" s="56"/>
      <c r="L41" s="56"/>
      <c r="M41" s="56"/>
      <c r="N41" s="56"/>
      <c r="O41" s="56"/>
      <c r="P41" s="56"/>
    </row>
    <row r="42" spans="1:16">
      <c r="A42" s="56"/>
      <c r="B42" s="56"/>
      <c r="C42" s="56"/>
      <c r="D42" s="56"/>
      <c r="E42" s="56"/>
      <c r="F42" s="56"/>
      <c r="G42" s="56"/>
      <c r="H42" s="56"/>
      <c r="I42" s="56"/>
      <c r="J42" s="56"/>
      <c r="K42" s="56"/>
      <c r="L42" s="56"/>
      <c r="M42" s="56"/>
      <c r="N42" s="56"/>
      <c r="O42" s="56"/>
      <c r="P42" s="56"/>
    </row>
    <row r="43" spans="1:16">
      <c r="A43" s="56"/>
      <c r="B43" s="56"/>
      <c r="C43" s="56"/>
      <c r="D43" s="56"/>
      <c r="E43" s="56"/>
      <c r="F43" s="56"/>
      <c r="G43" s="56"/>
      <c r="H43" s="56"/>
      <c r="I43" s="56"/>
      <c r="J43" s="56"/>
      <c r="K43" s="56"/>
      <c r="L43" s="56"/>
      <c r="M43" s="56"/>
      <c r="N43" s="56"/>
      <c r="O43" s="56"/>
      <c r="P43" s="56"/>
    </row>
    <row r="44" spans="1:16">
      <c r="A44" s="56"/>
      <c r="B44" s="56"/>
      <c r="C44" s="56"/>
      <c r="D44" s="56"/>
      <c r="E44" s="56"/>
      <c r="F44" s="56"/>
      <c r="G44" s="56"/>
      <c r="H44" s="56"/>
      <c r="I44" s="56"/>
      <c r="J44" s="56"/>
      <c r="K44" s="56"/>
      <c r="L44" s="56"/>
      <c r="M44" s="56"/>
      <c r="N44" s="56"/>
      <c r="O44" s="56"/>
      <c r="P44" s="56"/>
    </row>
    <row r="45" spans="1:16">
      <c r="A45" s="56"/>
      <c r="B45" s="56"/>
      <c r="C45" s="56"/>
      <c r="D45" s="56"/>
      <c r="E45" s="56"/>
      <c r="F45" s="56"/>
      <c r="G45" s="56"/>
      <c r="H45" s="56"/>
      <c r="I45" s="56"/>
      <c r="J45" s="56"/>
      <c r="K45" s="56"/>
      <c r="L45" s="56"/>
      <c r="M45" s="56"/>
      <c r="N45" s="56"/>
      <c r="O45" s="56"/>
      <c r="P45" s="56"/>
    </row>
    <row r="46" spans="1:16">
      <c r="A46" s="56"/>
      <c r="B46" s="56"/>
      <c r="C46" s="56"/>
      <c r="D46" s="56"/>
      <c r="E46" s="56"/>
      <c r="F46" s="56"/>
      <c r="G46" s="56"/>
      <c r="H46" s="56"/>
      <c r="I46" s="56"/>
      <c r="J46" s="56"/>
      <c r="K46" s="56"/>
      <c r="L46" s="56"/>
      <c r="M46" s="56"/>
      <c r="N46" s="56"/>
      <c r="O46" s="56"/>
      <c r="P46" s="56"/>
    </row>
    <row r="47" spans="1:16">
      <c r="A47" s="56"/>
      <c r="B47" s="56"/>
      <c r="C47" s="56"/>
      <c r="D47" s="56"/>
      <c r="E47" s="56"/>
      <c r="F47" s="56"/>
      <c r="G47" s="56"/>
      <c r="H47" s="56"/>
      <c r="I47" s="56"/>
      <c r="J47" s="56"/>
      <c r="K47" s="56"/>
      <c r="L47" s="56"/>
      <c r="M47" s="56"/>
      <c r="N47" s="56"/>
      <c r="O47" s="56"/>
      <c r="P47" s="56"/>
    </row>
    <row r="48" spans="1:16">
      <c r="A48" s="56"/>
      <c r="B48" s="56"/>
      <c r="C48" s="56"/>
      <c r="D48" s="56"/>
      <c r="E48" s="56"/>
      <c r="F48" s="56"/>
      <c r="G48" s="56"/>
      <c r="H48" s="56"/>
      <c r="I48" s="56"/>
      <c r="J48" s="56"/>
      <c r="K48" s="56"/>
      <c r="L48" s="56"/>
      <c r="M48" s="56"/>
      <c r="N48" s="56"/>
      <c r="O48" s="56"/>
      <c r="P48" s="56"/>
    </row>
    <row r="49" spans="1:16">
      <c r="A49" s="56"/>
      <c r="B49" s="56"/>
      <c r="C49" s="56"/>
      <c r="D49" s="56"/>
      <c r="E49" s="56"/>
      <c r="F49" s="56"/>
      <c r="G49" s="56"/>
      <c r="H49" s="56"/>
      <c r="I49" s="56"/>
      <c r="J49" s="56"/>
      <c r="K49" s="56"/>
      <c r="L49" s="56"/>
      <c r="M49" s="56"/>
      <c r="N49" s="56"/>
      <c r="O49" s="56"/>
      <c r="P49" s="56"/>
    </row>
    <row r="50" spans="1:16">
      <c r="A50" s="56"/>
      <c r="B50" s="56"/>
      <c r="C50" s="56"/>
      <c r="D50" s="56"/>
      <c r="E50" s="56"/>
      <c r="F50" s="56"/>
      <c r="G50" s="56"/>
      <c r="H50" s="56"/>
      <c r="I50" s="56"/>
      <c r="J50" s="56"/>
      <c r="K50" s="56"/>
      <c r="L50" s="56"/>
      <c r="M50" s="56"/>
      <c r="N50" s="56"/>
      <c r="O50" s="56"/>
      <c r="P50" s="56"/>
    </row>
    <row r="51" spans="1:16">
      <c r="A51" s="56"/>
      <c r="B51" s="56"/>
      <c r="C51" s="56"/>
      <c r="D51" s="56"/>
      <c r="E51" s="56"/>
      <c r="F51" s="56"/>
      <c r="G51" s="56"/>
      <c r="H51" s="56"/>
      <c r="I51" s="56"/>
      <c r="J51" s="56"/>
      <c r="K51" s="56"/>
      <c r="L51" s="56"/>
      <c r="M51" s="56"/>
      <c r="N51" s="56"/>
      <c r="O51" s="56"/>
      <c r="P51" s="56"/>
    </row>
    <row r="52" spans="1:16">
      <c r="A52" s="56"/>
      <c r="B52" s="56"/>
      <c r="C52" s="56"/>
      <c r="D52" s="56"/>
      <c r="E52" s="56"/>
      <c r="F52" s="56"/>
      <c r="G52" s="56"/>
      <c r="H52" s="56"/>
      <c r="I52" s="56"/>
      <c r="J52" s="56"/>
      <c r="K52" s="56"/>
      <c r="L52" s="56"/>
      <c r="M52" s="56"/>
      <c r="N52" s="56"/>
      <c r="O52" s="56"/>
      <c r="P52" s="56"/>
    </row>
    <row r="53" spans="1:16">
      <c r="A53" s="56"/>
      <c r="B53" s="56"/>
      <c r="C53" s="56"/>
      <c r="D53" s="56"/>
      <c r="E53" s="56"/>
      <c r="F53" s="56"/>
      <c r="G53" s="56"/>
      <c r="H53" s="56"/>
      <c r="I53" s="56"/>
      <c r="J53" s="56"/>
      <c r="K53" s="56"/>
      <c r="L53" s="56"/>
      <c r="M53" s="56"/>
      <c r="N53" s="56"/>
      <c r="O53" s="56"/>
      <c r="P53" s="56"/>
    </row>
    <row r="54" spans="1:16">
      <c r="A54" s="56"/>
      <c r="B54" s="56"/>
      <c r="C54" s="56"/>
      <c r="D54" s="56"/>
      <c r="E54" s="56"/>
      <c r="F54" s="56"/>
      <c r="G54" s="56"/>
      <c r="H54" s="56"/>
      <c r="I54" s="56"/>
      <c r="J54" s="56"/>
      <c r="K54" s="56"/>
      <c r="L54" s="56"/>
      <c r="M54" s="56"/>
      <c r="N54" s="56"/>
      <c r="O54" s="56"/>
      <c r="P54" s="56"/>
    </row>
    <row r="55" spans="1:16">
      <c r="A55" s="56"/>
      <c r="B55" s="56"/>
      <c r="C55" s="56"/>
      <c r="D55" s="56"/>
      <c r="E55" s="56"/>
      <c r="F55" s="56"/>
      <c r="G55" s="56"/>
      <c r="H55" s="56"/>
      <c r="I55" s="56"/>
      <c r="J55" s="56"/>
      <c r="K55" s="56"/>
      <c r="L55" s="56"/>
      <c r="M55" s="56"/>
      <c r="N55" s="56"/>
      <c r="O55" s="56"/>
      <c r="P55" s="56"/>
    </row>
    <row r="56" spans="1:16">
      <c r="A56" s="56"/>
      <c r="B56" s="56"/>
      <c r="C56" s="56"/>
      <c r="D56" s="56"/>
      <c r="E56" s="56"/>
      <c r="F56" s="56"/>
      <c r="G56" s="56"/>
      <c r="H56" s="56"/>
      <c r="I56" s="56"/>
      <c r="J56" s="56"/>
      <c r="K56" s="56"/>
      <c r="L56" s="56"/>
      <c r="M56" s="56"/>
      <c r="N56" s="56"/>
      <c r="O56" s="56"/>
      <c r="P56" s="56"/>
    </row>
    <row r="57" spans="1:16">
      <c r="A57" s="56"/>
      <c r="B57" s="56"/>
      <c r="C57" s="56"/>
      <c r="D57" s="56"/>
      <c r="E57" s="56"/>
      <c r="F57" s="56"/>
      <c r="G57" s="56"/>
      <c r="H57" s="56"/>
      <c r="I57" s="56"/>
      <c r="J57" s="56"/>
      <c r="K57" s="56"/>
      <c r="L57" s="56"/>
      <c r="M57" s="56"/>
      <c r="N57" s="56"/>
      <c r="O57" s="56"/>
      <c r="P57" s="56"/>
    </row>
    <row r="58" spans="1:16">
      <c r="A58" s="56"/>
      <c r="B58" s="56"/>
      <c r="C58" s="56"/>
      <c r="D58" s="56"/>
      <c r="E58" s="56"/>
      <c r="F58" s="56"/>
      <c r="G58" s="56"/>
      <c r="H58" s="56"/>
      <c r="I58" s="56"/>
      <c r="J58" s="56"/>
      <c r="K58" s="56"/>
      <c r="L58" s="56"/>
      <c r="M58" s="56"/>
      <c r="N58" s="56"/>
      <c r="O58" s="56"/>
      <c r="P58" s="56"/>
    </row>
    <row r="59" spans="1:16">
      <c r="A59" s="56"/>
      <c r="B59" s="56"/>
      <c r="C59" s="56"/>
      <c r="D59" s="56"/>
      <c r="E59" s="56"/>
      <c r="F59" s="56"/>
      <c r="G59" s="56"/>
      <c r="H59" s="56"/>
      <c r="I59" s="56"/>
      <c r="J59" s="56"/>
      <c r="K59" s="56"/>
      <c r="L59" s="56"/>
      <c r="M59" s="56"/>
      <c r="N59" s="56"/>
      <c r="O59" s="56"/>
      <c r="P59" s="56"/>
    </row>
    <row r="60" spans="1:16">
      <c r="A60" s="56"/>
      <c r="B60" s="56"/>
      <c r="C60" s="56"/>
      <c r="D60" s="56"/>
      <c r="E60" s="56"/>
      <c r="F60" s="56"/>
      <c r="G60" s="56"/>
      <c r="H60" s="56"/>
      <c r="I60" s="56"/>
      <c r="J60" s="56"/>
      <c r="K60" s="56"/>
      <c r="L60" s="56"/>
      <c r="M60" s="56"/>
      <c r="N60" s="56"/>
      <c r="O60" s="56"/>
      <c r="P60" s="56"/>
    </row>
    <row r="61" spans="1:16">
      <c r="A61" s="56"/>
      <c r="B61" s="56"/>
      <c r="C61" s="56"/>
      <c r="D61" s="56"/>
      <c r="E61" s="56"/>
      <c r="F61" s="56"/>
      <c r="G61" s="56"/>
      <c r="H61" s="56"/>
      <c r="I61" s="56"/>
      <c r="J61" s="56"/>
      <c r="K61" s="56"/>
      <c r="L61" s="56"/>
      <c r="M61" s="56"/>
      <c r="N61" s="56"/>
      <c r="O61" s="56"/>
      <c r="P61" s="56"/>
    </row>
    <row r="62" spans="1:16">
      <c r="A62" s="56"/>
      <c r="B62" s="56"/>
      <c r="C62" s="56"/>
      <c r="D62" s="56"/>
      <c r="E62" s="56"/>
      <c r="F62" s="56"/>
      <c r="G62" s="56"/>
      <c r="H62" s="56"/>
      <c r="I62" s="56"/>
      <c r="J62" s="56"/>
      <c r="K62" s="56"/>
      <c r="L62" s="56"/>
      <c r="M62" s="56"/>
      <c r="N62" s="56"/>
      <c r="O62" s="56"/>
      <c r="P62" s="56"/>
    </row>
    <row r="63" spans="1:16">
      <c r="A63" s="56"/>
      <c r="B63" s="56"/>
      <c r="C63" s="56"/>
      <c r="D63" s="56"/>
      <c r="E63" s="56"/>
      <c r="F63" s="56"/>
      <c r="G63" s="56"/>
      <c r="H63" s="56"/>
      <c r="I63" s="56"/>
      <c r="J63" s="56"/>
      <c r="K63" s="56"/>
      <c r="L63" s="56"/>
      <c r="M63" s="56"/>
      <c r="N63" s="56"/>
      <c r="O63" s="56"/>
      <c r="P63" s="56"/>
    </row>
    <row r="64" spans="1:16">
      <c r="A64" s="56"/>
      <c r="B64" s="56"/>
      <c r="C64" s="56"/>
      <c r="D64" s="56"/>
      <c r="E64" s="56"/>
      <c r="F64" s="56"/>
      <c r="G64" s="56"/>
      <c r="H64" s="56"/>
      <c r="I64" s="56"/>
      <c r="J64" s="56"/>
      <c r="K64" s="56"/>
      <c r="L64" s="56"/>
      <c r="M64" s="56"/>
      <c r="N64" s="56"/>
      <c r="O64" s="56"/>
      <c r="P64" s="56"/>
    </row>
    <row r="65" spans="1:16">
      <c r="A65" s="56"/>
      <c r="B65" s="56"/>
      <c r="C65" s="56"/>
      <c r="D65" s="56"/>
      <c r="E65" s="56"/>
      <c r="F65" s="56"/>
      <c r="G65" s="56"/>
      <c r="H65" s="56"/>
      <c r="I65" s="56"/>
      <c r="J65" s="56"/>
      <c r="K65" s="56"/>
      <c r="L65" s="56"/>
      <c r="M65" s="56"/>
      <c r="N65" s="56"/>
      <c r="O65" s="56"/>
      <c r="P65" s="56"/>
    </row>
    <row r="66" spans="1:16">
      <c r="A66" s="56"/>
      <c r="B66" s="56"/>
      <c r="C66" s="56"/>
      <c r="D66" s="56"/>
      <c r="E66" s="56"/>
      <c r="F66" s="56"/>
      <c r="G66" s="56"/>
      <c r="H66" s="56"/>
      <c r="I66" s="56"/>
      <c r="J66" s="56"/>
      <c r="K66" s="56"/>
      <c r="L66" s="56"/>
      <c r="M66" s="56"/>
      <c r="N66" s="56"/>
      <c r="O66" s="56"/>
      <c r="P66" s="56"/>
    </row>
    <row r="67" spans="1:16">
      <c r="A67" s="56"/>
      <c r="B67" s="56"/>
      <c r="C67" s="56"/>
      <c r="D67" s="56"/>
      <c r="E67" s="56"/>
      <c r="F67" s="56"/>
      <c r="G67" s="56"/>
      <c r="H67" s="56"/>
      <c r="I67" s="56"/>
      <c r="J67" s="56"/>
      <c r="K67" s="56"/>
      <c r="L67" s="56"/>
      <c r="M67" s="56"/>
      <c r="N67" s="56"/>
      <c r="O67" s="56"/>
      <c r="P67" s="56"/>
    </row>
    <row r="68" spans="1:16">
      <c r="A68" s="56"/>
      <c r="B68" s="56"/>
      <c r="C68" s="56"/>
      <c r="D68" s="56"/>
      <c r="E68" s="56"/>
      <c r="F68" s="56"/>
      <c r="G68" s="56"/>
      <c r="H68" s="56"/>
      <c r="I68" s="56"/>
      <c r="J68" s="56"/>
      <c r="K68" s="56"/>
      <c r="L68" s="56"/>
      <c r="M68" s="56"/>
      <c r="N68" s="56"/>
      <c r="O68" s="56"/>
      <c r="P68" s="56"/>
    </row>
    <row r="69" spans="1:16">
      <c r="A69" s="56"/>
      <c r="B69" s="56"/>
      <c r="C69" s="56"/>
      <c r="D69" s="56"/>
      <c r="E69" s="56"/>
      <c r="F69" s="56"/>
      <c r="G69" s="56"/>
      <c r="H69" s="56"/>
      <c r="I69" s="56"/>
      <c r="J69" s="56"/>
      <c r="K69" s="56"/>
      <c r="L69" s="56"/>
      <c r="M69" s="56"/>
      <c r="N69" s="56"/>
      <c r="O69" s="56"/>
      <c r="P69" s="56"/>
    </row>
    <row r="70" spans="1:16">
      <c r="A70" s="56"/>
      <c r="B70" s="56"/>
      <c r="C70" s="56"/>
      <c r="D70" s="56"/>
      <c r="E70" s="56"/>
      <c r="F70" s="56"/>
      <c r="G70" s="56"/>
      <c r="H70" s="56"/>
      <c r="I70" s="56"/>
      <c r="J70" s="56"/>
      <c r="K70" s="56"/>
      <c r="L70" s="56"/>
      <c r="M70" s="56"/>
      <c r="N70" s="56"/>
      <c r="O70" s="56"/>
      <c r="P70" s="56"/>
    </row>
    <row r="71" spans="1:16">
      <c r="A71" s="56"/>
      <c r="B71" s="56"/>
      <c r="C71" s="56"/>
      <c r="D71" s="56"/>
      <c r="E71" s="56"/>
      <c r="F71" s="56"/>
      <c r="G71" s="56"/>
      <c r="H71" s="56"/>
      <c r="I71" s="56"/>
      <c r="J71" s="56"/>
      <c r="K71" s="56"/>
      <c r="L71" s="56"/>
      <c r="M71" s="56"/>
      <c r="N71" s="56"/>
      <c r="O71" s="56"/>
      <c r="P71" s="56"/>
    </row>
    <row r="72" spans="1:16" ht="15" thickBot="1">
      <c r="A72" s="57"/>
      <c r="B72" s="57"/>
      <c r="C72" s="57"/>
      <c r="D72" s="57"/>
      <c r="E72" s="57"/>
      <c r="F72" s="57"/>
      <c r="G72" s="57"/>
      <c r="H72" s="57"/>
      <c r="I72" s="57"/>
      <c r="J72" s="57"/>
      <c r="K72" s="57"/>
      <c r="L72" s="57"/>
      <c r="M72" s="57"/>
      <c r="N72" s="57"/>
      <c r="O72" s="57"/>
      <c r="P72" s="57"/>
    </row>
    <row r="73" spans="1:16">
      <c r="A73" s="56"/>
      <c r="B73" s="56"/>
      <c r="C73" s="56"/>
      <c r="D73" s="56"/>
      <c r="E73" s="56"/>
      <c r="F73" s="56"/>
      <c r="G73" s="56"/>
      <c r="H73" s="56"/>
      <c r="I73" s="56"/>
      <c r="J73" s="56"/>
      <c r="K73" s="56"/>
      <c r="L73" s="56"/>
      <c r="M73" s="56"/>
      <c r="N73" s="56"/>
      <c r="O73" s="56"/>
      <c r="P73" s="56"/>
    </row>
    <row r="74" spans="1:16" ht="18">
      <c r="A74" s="56"/>
      <c r="B74" s="60" t="s">
        <v>493</v>
      </c>
      <c r="C74" s="60"/>
      <c r="D74" s="60"/>
      <c r="E74" s="60"/>
      <c r="F74" s="60"/>
      <c r="G74" s="60"/>
      <c r="H74" s="60"/>
      <c r="I74" s="60"/>
      <c r="J74" s="56"/>
      <c r="K74" s="56"/>
      <c r="L74" s="56"/>
      <c r="M74" s="56"/>
      <c r="N74" s="56"/>
      <c r="O74" s="56"/>
      <c r="P74" s="56"/>
    </row>
    <row r="75" spans="1:16" ht="15.6">
      <c r="A75" s="56"/>
      <c r="B75" s="58"/>
      <c r="C75" s="58"/>
      <c r="D75" s="58"/>
      <c r="E75" s="58"/>
      <c r="F75" s="58"/>
      <c r="G75" s="58"/>
      <c r="H75" s="58"/>
      <c r="I75" s="58"/>
      <c r="J75" s="56"/>
      <c r="K75" s="56"/>
      <c r="L75" s="56"/>
      <c r="M75" s="56"/>
      <c r="N75" s="56"/>
      <c r="O75" s="56"/>
      <c r="P75" s="56"/>
    </row>
    <row r="76" spans="1:16" ht="15.6">
      <c r="A76" s="56"/>
      <c r="B76" s="58" t="s">
        <v>500</v>
      </c>
      <c r="C76" s="58"/>
      <c r="D76" s="58"/>
      <c r="E76" s="58"/>
      <c r="F76" s="58"/>
      <c r="G76" s="58"/>
      <c r="H76" s="58"/>
      <c r="I76" s="58"/>
      <c r="J76" s="56"/>
      <c r="K76" s="56"/>
      <c r="L76" s="56"/>
      <c r="M76" s="56"/>
      <c r="N76" s="56"/>
      <c r="O76" s="56"/>
      <c r="P76" s="56"/>
    </row>
    <row r="77" spans="1:16" ht="15.6">
      <c r="A77" s="56"/>
      <c r="B77" s="58" t="s">
        <v>501</v>
      </c>
      <c r="C77" s="58"/>
      <c r="D77" s="58"/>
      <c r="E77" s="58"/>
      <c r="F77" s="58"/>
      <c r="G77" s="58"/>
      <c r="H77" s="58"/>
      <c r="I77" s="58"/>
      <c r="J77" s="56"/>
      <c r="K77" s="56"/>
      <c r="L77" s="56"/>
      <c r="M77" s="56"/>
      <c r="N77" s="56"/>
      <c r="O77" s="56"/>
      <c r="P77" s="56"/>
    </row>
    <row r="78" spans="1:16" ht="15.6">
      <c r="A78" s="56"/>
      <c r="B78" s="58" t="s">
        <v>502</v>
      </c>
      <c r="C78" s="58"/>
      <c r="D78" s="58"/>
      <c r="E78" s="58"/>
      <c r="F78" s="58"/>
      <c r="G78" s="58"/>
      <c r="H78" s="58"/>
      <c r="I78" s="58"/>
      <c r="J78" s="56"/>
      <c r="K78" s="56"/>
      <c r="L78" s="56"/>
      <c r="M78" s="56"/>
      <c r="N78" s="56"/>
      <c r="O78" s="56"/>
      <c r="P78" s="56"/>
    </row>
    <row r="79" spans="1:16" ht="15.6">
      <c r="A79" s="56"/>
      <c r="B79" s="58" t="s">
        <v>503</v>
      </c>
      <c r="C79" s="58"/>
      <c r="D79" s="58"/>
      <c r="E79" s="58"/>
      <c r="F79" s="58"/>
      <c r="G79" s="58"/>
      <c r="H79" s="58"/>
      <c r="I79" s="58"/>
      <c r="J79" s="56"/>
      <c r="K79" s="56"/>
      <c r="L79" s="56"/>
      <c r="M79" s="56"/>
      <c r="N79" s="56"/>
      <c r="O79" s="56"/>
      <c r="P79" s="56"/>
    </row>
    <row r="80" spans="1:16" ht="15.6">
      <c r="A80" s="56"/>
      <c r="B80" s="58" t="s">
        <v>504</v>
      </c>
      <c r="C80" s="58"/>
      <c r="D80" s="58"/>
      <c r="E80" s="58"/>
      <c r="F80" s="58"/>
      <c r="G80" s="58"/>
      <c r="H80" s="58"/>
      <c r="I80" s="58"/>
      <c r="J80" s="56"/>
      <c r="K80" s="56"/>
      <c r="L80" s="56"/>
      <c r="M80" s="56"/>
      <c r="N80" s="56"/>
      <c r="O80" s="56"/>
      <c r="P80" s="56"/>
    </row>
    <row r="81" spans="1:16" ht="15.6">
      <c r="A81" s="56"/>
      <c r="B81" s="59"/>
      <c r="C81" s="59"/>
      <c r="D81" s="59"/>
      <c r="E81" s="59"/>
      <c r="F81" s="59"/>
      <c r="G81" s="59"/>
      <c r="H81" s="59"/>
      <c r="I81" s="59"/>
      <c r="J81" s="56"/>
      <c r="K81" s="56"/>
      <c r="L81" s="56"/>
      <c r="M81" s="56"/>
      <c r="N81" s="56"/>
      <c r="O81" s="56"/>
      <c r="P81" s="56"/>
    </row>
    <row r="82" spans="1:16" ht="18">
      <c r="A82" s="56"/>
      <c r="B82" s="60" t="s">
        <v>494</v>
      </c>
      <c r="C82" s="60"/>
      <c r="D82" s="60"/>
      <c r="E82" s="60"/>
      <c r="F82" s="60"/>
      <c r="G82" s="60"/>
      <c r="H82" s="60"/>
      <c r="I82" s="60"/>
      <c r="J82" s="56"/>
      <c r="K82" s="56"/>
      <c r="L82" s="56"/>
      <c r="M82" s="56"/>
      <c r="N82" s="56"/>
      <c r="O82" s="56"/>
      <c r="P82" s="56"/>
    </row>
    <row r="83" spans="1:16" ht="15.6">
      <c r="A83" s="56"/>
      <c r="B83" s="58"/>
      <c r="C83" s="58"/>
      <c r="D83" s="58"/>
      <c r="E83" s="58"/>
      <c r="F83" s="58"/>
      <c r="G83" s="58"/>
      <c r="H83" s="58"/>
      <c r="I83" s="58"/>
      <c r="J83" s="56"/>
      <c r="K83" s="56"/>
      <c r="L83" s="56"/>
      <c r="M83" s="56"/>
      <c r="N83" s="56"/>
      <c r="O83" s="56"/>
      <c r="P83" s="56"/>
    </row>
    <row r="84" spans="1:16" ht="15.6">
      <c r="A84" s="56"/>
      <c r="B84" s="58" t="s">
        <v>495</v>
      </c>
      <c r="C84" s="58"/>
      <c r="D84" s="58"/>
      <c r="E84" s="58"/>
      <c r="F84" s="58"/>
      <c r="G84" s="58"/>
      <c r="H84" s="58"/>
      <c r="I84" s="58"/>
      <c r="J84" s="56"/>
      <c r="K84" s="56"/>
      <c r="L84" s="56"/>
      <c r="M84" s="56"/>
      <c r="N84" s="56"/>
      <c r="O84" s="56"/>
      <c r="P84" s="56"/>
    </row>
    <row r="85" spans="1:16" ht="15.6">
      <c r="A85" s="56"/>
      <c r="B85" s="58" t="s">
        <v>496</v>
      </c>
      <c r="C85" s="58"/>
      <c r="D85" s="58"/>
      <c r="E85" s="58"/>
      <c r="F85" s="58"/>
      <c r="G85" s="58"/>
      <c r="H85" s="58"/>
      <c r="I85" s="58"/>
      <c r="J85" s="56"/>
      <c r="K85" s="56"/>
      <c r="L85" s="56"/>
      <c r="M85" s="56"/>
      <c r="N85" s="56"/>
      <c r="O85" s="56"/>
      <c r="P85" s="56"/>
    </row>
    <row r="86" spans="1:16" ht="15.6">
      <c r="A86" s="56"/>
      <c r="B86" s="58" t="s">
        <v>497</v>
      </c>
      <c r="C86" s="58"/>
      <c r="D86" s="58"/>
      <c r="E86" s="58"/>
      <c r="F86" s="58"/>
      <c r="G86" s="58"/>
      <c r="H86" s="58"/>
      <c r="I86" s="58"/>
      <c r="J86" s="56"/>
      <c r="K86" s="56"/>
      <c r="L86" s="56"/>
      <c r="M86" s="56"/>
      <c r="N86" s="56"/>
      <c r="O86" s="56"/>
      <c r="P86" s="56"/>
    </row>
    <row r="87" spans="1:16" ht="15.6">
      <c r="A87" s="56"/>
      <c r="B87" s="58" t="s">
        <v>498</v>
      </c>
      <c r="C87" s="58"/>
      <c r="D87" s="58"/>
      <c r="E87" s="58"/>
      <c r="F87" s="58"/>
      <c r="G87" s="58"/>
      <c r="H87" s="58"/>
      <c r="I87" s="58"/>
      <c r="J87" s="56"/>
      <c r="K87" s="56"/>
      <c r="L87" s="56"/>
      <c r="M87" s="56"/>
      <c r="N87" s="56"/>
      <c r="O87" s="56"/>
      <c r="P87" s="56"/>
    </row>
    <row r="88" spans="1:16" ht="15.6">
      <c r="A88" s="56"/>
      <c r="B88" s="58" t="s">
        <v>499</v>
      </c>
      <c r="C88" s="58"/>
      <c r="D88" s="58"/>
      <c r="E88" s="58"/>
      <c r="F88" s="58"/>
      <c r="G88" s="58"/>
      <c r="H88" s="58"/>
      <c r="I88" s="58"/>
      <c r="J88" s="56"/>
      <c r="K88" s="56"/>
      <c r="L88" s="56"/>
      <c r="M88" s="56"/>
      <c r="N88" s="56"/>
      <c r="O88" s="56"/>
      <c r="P88" s="56"/>
    </row>
    <row r="89" spans="1:16" ht="15" thickBot="1">
      <c r="A89" s="57"/>
      <c r="B89" s="57"/>
      <c r="C89" s="57"/>
      <c r="D89" s="57"/>
      <c r="E89" s="57"/>
      <c r="F89" s="57"/>
      <c r="G89" s="57"/>
      <c r="H89" s="57"/>
      <c r="I89" s="57"/>
      <c r="J89" s="57"/>
      <c r="K89" s="57"/>
      <c r="L89" s="57"/>
      <c r="M89" s="57"/>
      <c r="N89" s="57"/>
      <c r="O89" s="57"/>
      <c r="P89" s="57"/>
    </row>
  </sheetData>
  <mergeCells count="27">
    <mergeCell ref="B2:L2"/>
    <mergeCell ref="B3:L3"/>
    <mergeCell ref="B7:C7"/>
    <mergeCell ref="E7:F7"/>
    <mergeCell ref="H7:I7"/>
    <mergeCell ref="K7:L7"/>
    <mergeCell ref="B86:I86"/>
    <mergeCell ref="B87:I87"/>
    <mergeCell ref="B88:I88"/>
    <mergeCell ref="N7:O7"/>
    <mergeCell ref="B8:C8"/>
    <mergeCell ref="E8:F8"/>
    <mergeCell ref="H8:I8"/>
    <mergeCell ref="K8:L8"/>
    <mergeCell ref="N8:O8"/>
    <mergeCell ref="B85:I85"/>
    <mergeCell ref="B74:I74"/>
    <mergeCell ref="B75:I75"/>
    <mergeCell ref="B76:I76"/>
    <mergeCell ref="B77:I77"/>
    <mergeCell ref="B78:I78"/>
    <mergeCell ref="B79:I79"/>
    <mergeCell ref="B80:I80"/>
    <mergeCell ref="B81:I81"/>
    <mergeCell ref="B82:I82"/>
    <mergeCell ref="B83:I83"/>
    <mergeCell ref="B84:I8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Analysis</vt:lpstr>
      <vt:lpstr>Scenario Summary</vt:lpstr>
      <vt:lpstr>Linear Regression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Donga</dc:creator>
  <cp:lastModifiedBy>prit baldha</cp:lastModifiedBy>
  <dcterms:created xsi:type="dcterms:W3CDTF">2026-10-07T15:10:39Z</dcterms:created>
  <dcterms:modified xsi:type="dcterms:W3CDTF">2026-10-13T12:01:46Z</dcterms:modified>
</cp:coreProperties>
</file>